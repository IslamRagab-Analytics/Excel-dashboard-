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B.K\Downloads\"/>
    </mc:Choice>
  </mc:AlternateContent>
  <xr:revisionPtr revIDLastSave="0" documentId="8_{C9255A1D-CDF1-4518-AB18-1503EE89BF3A}" xr6:coauthVersionLast="47" xr6:coauthVersionMax="47" xr10:uidLastSave="{00000000-0000-0000-0000-000000000000}"/>
  <bookViews>
    <workbookView xWindow="-120" yWindow="-120" windowWidth="29040" windowHeight="15840" activeTab="3" xr2:uid="{00000000-000D-0000-FFFF-FFFF00000000}"/>
  </bookViews>
  <sheets>
    <sheet name="الارشادات" sheetId="3" r:id="rId1"/>
    <sheet name="البيانات" sheetId="1" r:id="rId2"/>
    <sheet name="pivot _t" sheetId="4" r:id="rId3"/>
    <sheet name="dash board" sheetId="6" r:id="rId4"/>
  </sheets>
  <definedNames>
    <definedName name="_xlnm._FilterDatabase" localSheetId="1" hidden="1">البيانات!$A$1:$V$87</definedName>
    <definedName name="Slicer_نوع_المنتج">#N/A</definedName>
  </definedNames>
  <calcPr calcId="191028"/>
  <pivotCaches>
    <pivotCache cacheId="5" r:id="rId5"/>
    <pivotCache cacheId="32"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4" i="1" l="1"/>
  <c r="AB13" i="1"/>
  <c r="J17" i="4"/>
  <c r="G19" i="4"/>
  <c r="AB12" i="4"/>
  <c r="AM15" i="4"/>
  <c r="B34" i="4"/>
  <c r="X2" i="1" l="1"/>
  <c r="Y2" i="1" s="1"/>
  <c r="X3" i="1"/>
  <c r="Y3" i="1" s="1"/>
  <c r="X4" i="1"/>
  <c r="Y4" i="1" s="1"/>
  <c r="X5" i="1"/>
  <c r="Y5" i="1" s="1"/>
  <c r="X6" i="1"/>
  <c r="Y6" i="1" s="1"/>
  <c r="X7" i="1"/>
  <c r="Y7" i="1" s="1"/>
  <c r="X8" i="1"/>
  <c r="Y8" i="1" s="1"/>
  <c r="X9" i="1"/>
  <c r="Y9" i="1" s="1"/>
  <c r="X10" i="1"/>
  <c r="Y10" i="1" s="1"/>
  <c r="X11" i="1"/>
  <c r="Y11" i="1" s="1"/>
  <c r="X12" i="1"/>
  <c r="Y12" i="1" s="1"/>
  <c r="X13" i="1"/>
  <c r="Y13" i="1" s="1"/>
  <c r="X14" i="1"/>
  <c r="Y14" i="1" s="1"/>
  <c r="X15" i="1"/>
  <c r="Y15" i="1" s="1"/>
  <c r="X16" i="1"/>
  <c r="Y16" i="1" s="1"/>
  <c r="X17" i="1"/>
  <c r="Y17" i="1" s="1"/>
  <c r="X18" i="1"/>
  <c r="Y18" i="1" s="1"/>
  <c r="X19" i="1"/>
  <c r="Y19" i="1" s="1"/>
  <c r="X20" i="1"/>
  <c r="Y20" i="1" s="1"/>
  <c r="X21" i="1"/>
  <c r="Y21" i="1" s="1"/>
  <c r="X22" i="1"/>
  <c r="Y22" i="1" s="1"/>
  <c r="X23" i="1"/>
  <c r="Y23" i="1" s="1"/>
  <c r="X24" i="1"/>
  <c r="Y24" i="1" s="1"/>
  <c r="X25" i="1"/>
  <c r="Y25" i="1" s="1"/>
  <c r="X26" i="1"/>
  <c r="Y26" i="1" s="1"/>
  <c r="X27" i="1"/>
  <c r="Y27" i="1" s="1"/>
  <c r="X28" i="1"/>
  <c r="Y28" i="1" s="1"/>
  <c r="X29" i="1"/>
  <c r="Y29" i="1" s="1"/>
  <c r="X30" i="1"/>
  <c r="Y30" i="1" s="1"/>
  <c r="X31" i="1"/>
  <c r="Y31" i="1" s="1"/>
  <c r="X32" i="1"/>
  <c r="Y32" i="1" s="1"/>
  <c r="X33" i="1"/>
  <c r="Y33" i="1" s="1"/>
  <c r="X34" i="1"/>
  <c r="Y34" i="1" s="1"/>
  <c r="X35" i="1"/>
  <c r="Y35" i="1" s="1"/>
  <c r="X36" i="1"/>
  <c r="Y36" i="1" s="1"/>
  <c r="X37" i="1"/>
  <c r="Y37" i="1" s="1"/>
  <c r="X38" i="1"/>
  <c r="Y38" i="1" s="1"/>
  <c r="X39" i="1"/>
  <c r="Y39" i="1" s="1"/>
  <c r="X40" i="1"/>
  <c r="Y40" i="1" s="1"/>
  <c r="X41" i="1"/>
  <c r="Y41" i="1" s="1"/>
  <c r="X42" i="1"/>
  <c r="Y42" i="1" s="1"/>
  <c r="X43" i="1"/>
  <c r="Y43" i="1" s="1"/>
  <c r="X44" i="1"/>
  <c r="Y44" i="1" s="1"/>
  <c r="X45" i="1"/>
  <c r="Y45" i="1" s="1"/>
  <c r="X46" i="1"/>
  <c r="Y46" i="1" s="1"/>
  <c r="X47" i="1"/>
  <c r="Y47" i="1" s="1"/>
  <c r="X48" i="1"/>
  <c r="Y48" i="1" s="1"/>
  <c r="X49" i="1"/>
  <c r="Y49" i="1" s="1"/>
  <c r="X50" i="1"/>
  <c r="Y50" i="1" s="1"/>
  <c r="X51" i="1"/>
  <c r="Y51" i="1" s="1"/>
  <c r="X52" i="1"/>
  <c r="Y52" i="1" s="1"/>
  <c r="X53" i="1"/>
  <c r="Y53" i="1" s="1"/>
  <c r="X54" i="1"/>
  <c r="Y54" i="1" s="1"/>
  <c r="X55" i="1"/>
  <c r="Y55" i="1" s="1"/>
  <c r="X56" i="1"/>
  <c r="Y56" i="1" s="1"/>
  <c r="X57" i="1"/>
  <c r="Y57" i="1" s="1"/>
  <c r="X58" i="1"/>
  <c r="Y58" i="1" s="1"/>
  <c r="X59" i="1"/>
  <c r="Y59" i="1" s="1"/>
  <c r="X60" i="1"/>
  <c r="Y60" i="1" s="1"/>
  <c r="X61" i="1"/>
  <c r="Y61" i="1" s="1"/>
  <c r="X62" i="1"/>
  <c r="Y62" i="1" s="1"/>
  <c r="X63" i="1"/>
  <c r="Y63" i="1" s="1"/>
  <c r="X64" i="1"/>
  <c r="Y64" i="1" s="1"/>
  <c r="X65" i="1"/>
  <c r="Y65" i="1" s="1"/>
  <c r="X66" i="1"/>
  <c r="Y66" i="1" s="1"/>
  <c r="X67" i="1"/>
  <c r="Y67" i="1" s="1"/>
  <c r="X68" i="1"/>
  <c r="Y68" i="1" s="1"/>
  <c r="X69" i="1"/>
  <c r="Y69" i="1" s="1"/>
  <c r="X70" i="1"/>
  <c r="Y70" i="1" s="1"/>
  <c r="X71" i="1"/>
  <c r="Y71" i="1" s="1"/>
  <c r="X72" i="1"/>
  <c r="Y72" i="1" s="1"/>
  <c r="X73" i="1"/>
  <c r="Y73" i="1" s="1"/>
  <c r="X74" i="1"/>
  <c r="Y74" i="1" s="1"/>
  <c r="X75" i="1"/>
  <c r="Y75" i="1" s="1"/>
  <c r="X76" i="1"/>
  <c r="Y76" i="1" s="1"/>
  <c r="X77" i="1"/>
  <c r="Y77" i="1" s="1"/>
  <c r="X78" i="1"/>
  <c r="Y78" i="1" s="1"/>
  <c r="X79" i="1"/>
  <c r="Y79" i="1" s="1"/>
  <c r="X80" i="1"/>
  <c r="Y80" i="1" s="1"/>
  <c r="X81" i="1"/>
  <c r="Y81" i="1" s="1"/>
  <c r="X82" i="1"/>
  <c r="Y82" i="1" s="1"/>
  <c r="X83" i="1"/>
  <c r="Y83" i="1" s="1"/>
  <c r="X84" i="1"/>
  <c r="Y84" i="1" s="1"/>
  <c r="X85" i="1"/>
  <c r="Y85" i="1" s="1"/>
  <c r="X86" i="1"/>
  <c r="Y86" i="1" s="1"/>
  <c r="X87" i="1"/>
  <c r="Y87" i="1" s="1"/>
  <c r="X88" i="1"/>
  <c r="Y88" i="1" s="1"/>
  <c r="X89" i="1"/>
  <c r="Y89" i="1" s="1"/>
  <c r="X90" i="1"/>
  <c r="Y90" i="1" s="1"/>
  <c r="X91" i="1"/>
  <c r="Y91" i="1" s="1"/>
  <c r="X92" i="1"/>
  <c r="Y92" i="1" s="1"/>
  <c r="X93" i="1"/>
  <c r="Y93" i="1" s="1"/>
  <c r="X94" i="1"/>
  <c r="Y94" i="1" s="1"/>
  <c r="X95" i="1"/>
  <c r="Y95" i="1" s="1"/>
  <c r="X96" i="1"/>
  <c r="Y96" i="1" s="1"/>
  <c r="X97" i="1"/>
  <c r="Y97" i="1" s="1"/>
  <c r="X98" i="1"/>
  <c r="Y98" i="1" s="1"/>
  <c r="X99" i="1"/>
  <c r="Y99" i="1" s="1"/>
  <c r="X100" i="1"/>
  <c r="Y100" i="1" s="1"/>
  <c r="X101" i="1"/>
  <c r="Y101" i="1" s="1"/>
  <c r="X102" i="1"/>
  <c r="Y102" i="1" s="1"/>
  <c r="X103" i="1"/>
  <c r="Y103" i="1" s="1"/>
  <c r="X104" i="1"/>
  <c r="Y104" i="1" s="1"/>
  <c r="X105" i="1"/>
  <c r="Y105" i="1" s="1"/>
  <c r="X106" i="1"/>
  <c r="Y106" i="1" s="1"/>
  <c r="X107" i="1"/>
  <c r="Y107" i="1" s="1"/>
  <c r="X108" i="1"/>
  <c r="Y108" i="1" s="1"/>
  <c r="X109" i="1"/>
  <c r="Y109" i="1" s="1"/>
  <c r="X110" i="1"/>
  <c r="Y110" i="1" s="1"/>
  <c r="X111" i="1"/>
  <c r="Y111" i="1" s="1"/>
  <c r="X112" i="1"/>
  <c r="Y112" i="1" s="1"/>
  <c r="X113" i="1"/>
  <c r="Y113" i="1" s="1"/>
  <c r="X114" i="1"/>
  <c r="Y114" i="1" s="1"/>
  <c r="X115" i="1"/>
  <c r="Y115" i="1" s="1"/>
  <c r="X116" i="1"/>
  <c r="Y116" i="1" s="1"/>
  <c r="X117" i="1"/>
  <c r="Y117" i="1" s="1"/>
  <c r="X118" i="1"/>
  <c r="Y118" i="1" s="1"/>
  <c r="X119" i="1"/>
  <c r="Y119" i="1" s="1"/>
  <c r="X120" i="1"/>
  <c r="Y120" i="1" s="1"/>
  <c r="X121" i="1"/>
  <c r="Y121" i="1" s="1"/>
  <c r="X122" i="1"/>
  <c r="Y122" i="1" s="1"/>
  <c r="X123" i="1"/>
  <c r="Y123" i="1" s="1"/>
  <c r="X124" i="1"/>
  <c r="Y124" i="1" s="1"/>
  <c r="X125" i="1"/>
  <c r="Y125" i="1" s="1"/>
  <c r="X126" i="1"/>
  <c r="Y126" i="1" s="1"/>
  <c r="W2" i="1"/>
  <c r="W3"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P127" i="1"/>
  <c r="F127" i="1"/>
  <c r="D127" i="1"/>
  <c r="V127" i="1"/>
</calcChain>
</file>

<file path=xl/sharedStrings.xml><?xml version="1.0" encoding="utf-8"?>
<sst xmlns="http://schemas.openxmlformats.org/spreadsheetml/2006/main" count="1532" uniqueCount="331">
  <si>
    <t>أسم العميل</t>
  </si>
  <si>
    <t>العنوان</t>
  </si>
  <si>
    <t>المنتج</t>
  </si>
  <si>
    <t>تاريخ التسليم</t>
  </si>
  <si>
    <t>المسئول عن التسليم</t>
  </si>
  <si>
    <t>م</t>
  </si>
  <si>
    <t>رقم الموبيل</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</si>
  <si>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</si>
  <si>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</si>
  <si>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</si>
  <si>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</si>
  <si>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</si>
  <si>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</si>
  <si>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</si>
  <si>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</si>
  <si>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</si>
  <si>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</si>
  <si>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محمود</t>
  </si>
  <si>
    <t>سموحه - اسكندريه</t>
  </si>
  <si>
    <t xml:space="preserve">سرير منطبق اسود والقماش اسود </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</si>
  <si>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</si>
  <si>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</si>
  <si>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</si>
  <si>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</si>
  <si>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</si>
  <si>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</si>
  <si>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</si>
  <si>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</si>
  <si>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</si>
  <si>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</si>
  <si>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</si>
  <si>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</si>
  <si>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</si>
  <si>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 xml:space="preserve">تم تسليم العميل عن طريق شركه شحن </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</si>
  <si>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</si>
  <si>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</si>
  <si>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</si>
  <si>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</si>
  <si>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</si>
  <si>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</si>
  <si>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</si>
  <si>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</si>
  <si>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</si>
  <si>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</si>
  <si>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</si>
  <si>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</si>
  <si>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</si>
  <si>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</si>
  <si>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</si>
  <si>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</si>
  <si>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</si>
  <si>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</si>
  <si>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</si>
  <si>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</si>
  <si>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</si>
  <si>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</si>
  <si>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</si>
  <si>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</si>
  <si>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</si>
  <si>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</si>
  <si>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</si>
  <si>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</si>
  <si>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</si>
  <si>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</si>
  <si>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</si>
  <si>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</si>
  <si>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</si>
  <si>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على السيد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</si>
  <si>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</si>
  <si>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</si>
  <si>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</si>
  <si>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</si>
  <si>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</si>
  <si>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</si>
  <si>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1229928475-01022373996</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</si>
  <si>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</si>
  <si>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</si>
  <si>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</si>
  <si>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</si>
  <si>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</si>
  <si>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</si>
  <si>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</si>
  <si>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</si>
  <si>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</si>
  <si>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</si>
  <si>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</si>
  <si>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</si>
  <si>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</si>
  <si>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</si>
  <si>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</si>
  <si>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</si>
  <si>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</si>
  <si>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</si>
  <si>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</si>
  <si>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</si>
  <si>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</si>
  <si>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</si>
  <si>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</si>
  <si>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</si>
  <si>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</si>
  <si>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</si>
  <si>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ملغى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</si>
  <si>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</si>
  <si>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</si>
  <si>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</si>
  <si>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</si>
  <si>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</si>
  <si>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</si>
  <si>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</si>
  <si>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 xml:space="preserve">اياد </t>
  </si>
  <si>
    <t>ميار خورشد</t>
  </si>
  <si>
    <t xml:space="preserve">سرير منطبق اسود حديد ومعدن </t>
  </si>
  <si>
    <t xml:space="preserve">عبد الله سيد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</si>
  <si>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</si>
  <si>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</si>
  <si>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</si>
  <si>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</si>
  <si>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</si>
  <si>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</si>
  <si>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</si>
  <si>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</si>
  <si>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</si>
  <si>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</si>
  <si>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</si>
  <si>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</si>
  <si>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</si>
  <si>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</si>
  <si>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</si>
  <si>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</si>
  <si>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</si>
  <si>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</si>
  <si>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</si>
  <si>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</si>
  <si>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</si>
  <si>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</si>
  <si>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</si>
  <si>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</si>
  <si>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</si>
  <si>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</si>
  <si>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</si>
  <si>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</si>
  <si>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</si>
  <si>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</si>
  <si>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</si>
  <si>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</si>
  <si>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</si>
  <si>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تربيزه</t>
  </si>
  <si>
    <t>ركنة</t>
  </si>
  <si>
    <t>سحارة</t>
  </si>
  <si>
    <t>ركنة بسرير</t>
  </si>
  <si>
    <t>كرسى</t>
  </si>
  <si>
    <t>فنسيا</t>
  </si>
  <si>
    <t>4*1</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</si>
  <si>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</si>
  <si>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</si>
  <si>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</si>
  <si>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</si>
  <si>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</si>
  <si>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</si>
  <si>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</si>
  <si>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</si>
  <si>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</si>
  <si>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</si>
  <si>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</si>
  <si>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</si>
  <si>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</si>
  <si>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</si>
  <si>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</si>
  <si>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</si>
  <si>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</si>
  <si>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</si>
  <si>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</si>
  <si>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EL-Maadi</t>
  </si>
  <si>
    <t>Mohamed Ayman</t>
  </si>
  <si>
    <t>Madinet Badr</t>
  </si>
  <si>
    <t>2 ميكانزم</t>
  </si>
  <si>
    <t>بمكتبة</t>
  </si>
  <si>
    <t>رف سحاب</t>
  </si>
  <si>
    <t>الحالة</t>
  </si>
  <si>
    <t>فشل التسليم</t>
  </si>
  <si>
    <t>15/9/2024</t>
  </si>
  <si>
    <t>اسامه</t>
  </si>
  <si>
    <t>16/9/2024</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</si>
  <si>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</si>
  <si>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</si>
  <si>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</si>
  <si>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</si>
  <si>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</si>
  <si>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</si>
  <si>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</si>
  <si>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4×1</t>
  </si>
  <si>
    <t xml:space="preserve">اسود </t>
  </si>
  <si>
    <t>31/9/2024</t>
  </si>
  <si>
    <t>الحج محمد السويس</t>
  </si>
  <si>
    <t xml:space="preserve">السويس </t>
  </si>
  <si>
    <t>السويس</t>
  </si>
  <si>
    <t>فانتاستك</t>
  </si>
  <si>
    <t>ملون</t>
  </si>
  <si>
    <t>فنيسيا</t>
  </si>
  <si>
    <t>رصاصي مشجر</t>
  </si>
  <si>
    <t>اسزد</t>
  </si>
  <si>
    <t>بيج</t>
  </si>
  <si>
    <t xml:space="preserve">نبيتى </t>
  </si>
  <si>
    <t>عمرو الأسود</t>
  </si>
  <si>
    <t>الزمالك</t>
  </si>
  <si>
    <t>مخزن شيك هومز</t>
  </si>
  <si>
    <t xml:space="preserve">بترولى </t>
  </si>
  <si>
    <t xml:space="preserve">تم التسليم بمعرفه الحج سيد </t>
  </si>
  <si>
    <t>keira</t>
  </si>
  <si>
    <t xml:space="preserve">نوفال </t>
  </si>
  <si>
    <t>١٤٠/١٠٠</t>
  </si>
  <si>
    <t>بينك</t>
  </si>
  <si>
    <t>tarek</t>
  </si>
  <si>
    <t>لاغى</t>
  </si>
  <si>
    <t>reem</t>
  </si>
  <si>
    <t>البطاش اسكندريه</t>
  </si>
  <si>
    <t>١٠٠/١٤٠</t>
  </si>
  <si>
    <t>هشام سامى</t>
  </si>
  <si>
    <t>s03163</t>
  </si>
  <si>
    <t>41 كومبوند جولدن جستس الدور 4 شقه 4</t>
  </si>
  <si>
    <t>بلحه</t>
  </si>
  <si>
    <t>خشب بنى فاتح</t>
  </si>
  <si>
    <t>فانتستيك</t>
  </si>
  <si>
    <t>الوان</t>
  </si>
  <si>
    <t>المعرض مدينه نصر</t>
  </si>
  <si>
    <t>فاطمه محمد</t>
  </si>
  <si>
    <t>الشيخ زايد اكتوبر</t>
  </si>
  <si>
    <t>بولا هومزمارت</t>
  </si>
  <si>
    <t>مسيو هومزمارت</t>
  </si>
  <si>
    <t xml:space="preserve">محمد شكرى </t>
  </si>
  <si>
    <t>ارينا</t>
  </si>
  <si>
    <t>بترولى</t>
  </si>
  <si>
    <t>مسبق</t>
  </si>
  <si>
    <t>so3290</t>
  </si>
  <si>
    <t>منزلى</t>
  </si>
  <si>
    <t>مدينتى</t>
  </si>
  <si>
    <t>s_6725</t>
  </si>
  <si>
    <t>حماده</t>
  </si>
  <si>
    <t>صفاء عبد الباقي</t>
  </si>
  <si>
    <t xml:space="preserve">كينج </t>
  </si>
  <si>
    <t>s_6806</t>
  </si>
  <si>
    <t>s-6626</t>
  </si>
  <si>
    <t>المخزن</t>
  </si>
  <si>
    <t xml:space="preserve">دورين </t>
  </si>
  <si>
    <t xml:space="preserve">رندا العامرى </t>
  </si>
  <si>
    <t xml:space="preserve">كيمت </t>
  </si>
  <si>
    <t xml:space="preserve">كيفنج </t>
  </si>
  <si>
    <t xml:space="preserve">فردى </t>
  </si>
  <si>
    <t>امريكى</t>
  </si>
  <si>
    <t>محمد حمدى</t>
  </si>
  <si>
    <t>فيسبوك</t>
  </si>
  <si>
    <t xml:space="preserve">كوين </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</si>
  <si>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</si>
  <si>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</si>
  <si>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</si>
  <si>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</si>
  <si>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</si>
  <si>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</si>
  <si>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</si>
  <si>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مكتبه</t>
  </si>
  <si>
    <t>محمد ناجى</t>
  </si>
  <si>
    <t xml:space="preserve">دوران </t>
  </si>
  <si>
    <t>ميكانزم</t>
  </si>
  <si>
    <t>ابيض في بنى غامق</t>
  </si>
  <si>
    <t>احمد عبد الستار</t>
  </si>
  <si>
    <t>المندره اسكندريه</t>
  </si>
  <si>
    <t xml:space="preserve">نور </t>
  </si>
  <si>
    <t>بنى غامق</t>
  </si>
  <si>
    <t>نور</t>
  </si>
  <si>
    <t xml:space="preserve">بنى غامق </t>
  </si>
  <si>
    <t>تامر</t>
  </si>
  <si>
    <t>٢ ميكانزم</t>
  </si>
  <si>
    <t xml:space="preserve">بيج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</si>
  <si>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</si>
  <si>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</si>
  <si>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</si>
  <si>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</si>
  <si>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</si>
  <si>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</si>
  <si>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</si>
  <si>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</si>
  <si>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</si>
  <si>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</si>
  <si>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</si>
  <si>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</si>
  <si>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</si>
  <si>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</si>
  <si>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</si>
  <si>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</si>
  <si>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</si>
  <si>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</si>
  <si>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</si>
  <si>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</si>
  <si>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</si>
  <si>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</si>
  <si>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</si>
  <si>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</si>
  <si>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Column1</t>
  </si>
  <si>
    <t>Column2</t>
  </si>
  <si>
    <t>نوع المنتج</t>
  </si>
  <si>
    <t>الغاء</t>
  </si>
  <si>
    <t>Total</t>
  </si>
  <si>
    <t xml:space="preserve">Sum of سعر البيع </t>
  </si>
  <si>
    <t>total sales</t>
  </si>
  <si>
    <t>total orders</t>
  </si>
  <si>
    <t>Row Labels</t>
  </si>
  <si>
    <t>Grand Total</t>
  </si>
  <si>
    <t xml:space="preserve">Count of سعر البيع </t>
  </si>
  <si>
    <t>ave-price</t>
  </si>
  <si>
    <t xml:space="preserve">Average of سعر البيع </t>
  </si>
  <si>
    <t>sales by platform</t>
  </si>
  <si>
    <t>best seller</t>
  </si>
  <si>
    <t>best color sold</t>
  </si>
  <si>
    <t>نسبة البضاعه الملغاه</t>
  </si>
  <si>
    <t>Count of الحالة</t>
  </si>
  <si>
    <t>المدينة الاكثر مبيعا</t>
  </si>
  <si>
    <t>فرق البضاغه المتسلمه</t>
  </si>
  <si>
    <t>البضاعه المباعه فى موعيدها</t>
  </si>
  <si>
    <t>نسبة الطلبات المسلمة فى الموعد</t>
  </si>
  <si>
    <t>تسليم متاخر</t>
  </si>
  <si>
    <t>تم تسليم فى الموعد</t>
  </si>
  <si>
    <t>Count of البضاعه المباعه فى موعيدها</t>
  </si>
  <si>
    <t>عدد الافراد والشركات</t>
  </si>
  <si>
    <t>اسم شخص</t>
  </si>
  <si>
    <t>شخص</t>
  </si>
  <si>
    <t>شركة</t>
  </si>
  <si>
    <t>عدد الاشخاص</t>
  </si>
  <si>
    <t>عددالشركات</t>
  </si>
  <si>
    <t>نوع المستخدم</t>
  </si>
  <si>
    <t>عدد المستخدم</t>
  </si>
  <si>
    <t>Sum of عدد المستخدم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</si>
</sst>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2000401]0"/>
    <numFmt numFmtId="165" formatCode="_-* #,##0_-;\-* #,##0_-;_-* &quot;-&quot;??_-;_-@_-"/>
  </numFmts>
  <fonts count="21" x14ac:knownFonts="1">
    <font>
      <sz val="11"/>
      <color theme="1"/>
      <name val="Calibri"/>
      <family val="2"/>
      <scheme val="minor"/>
    </font>
    <font>
      <b/>
      <sz val="12"/>
      <color theme="1"/>
      <name val="Calibri"/>
      <family val="2"/>
      <scheme val="minor"/>
    </font>
    <font>
      <b/>
      <sz val="11"/>
      <color theme="1"/>
      <name val="Calibri"/>
      <family val="2"/>
      <scheme val="minor"/>
    </font>
    <font>
      <sz val="14"/>
      <color rgb="FF898989"/>
      <name val="Arial"/>
      <family val="2"/>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14"/>
      <color theme="1"/>
      <name val="Calibri"/>
      <family val="2"/>
      <scheme val="minor"/>
    </font>
    <font>
      <sz val="14"/>
      <color rgb="FF4D4D4D"/>
      <name val="Arial"/>
      <family val="2"/>
    </font>
    <font>
      <sz val="14"/>
      <name val="Calibri"/>
      <family val="2"/>
      <scheme val="minor"/>
    </font>
    <font>
      <sz val="14"/>
      <name val="Arial"/>
      <family val="2"/>
    </font>
    <font>
      <sz val="14"/>
      <color rgb="FF52525B"/>
      <name val="Arial"/>
      <family val="2"/>
    </font>
    <font>
      <sz val="14"/>
      <color theme="1"/>
      <name val="Arial"/>
      <family val="2"/>
    </font>
    <font>
      <sz val="22"/>
      <color theme="1"/>
      <name val="Calibri"/>
      <family val="2"/>
      <scheme val="minor"/>
    </font>
    <font>
      <sz val="8"/>
      <name val="Calibri"/>
      <family val="2"/>
      <scheme val="minor"/>
    </font>
    <font>
      <sz val="11"/>
      <color theme="1"/>
      <name val="Calibri"/>
      <family val="2"/>
      <scheme val="minor"/>
    </font>
    <font>
      <sz val="16"/>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FF0000"/>
        <bgColor indexed="64"/>
      </patternFill>
    </fill>
    <fill>
      <patternFill patternType="solid">
        <fgColor theme="9"/>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rgb="FF92D050"/>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43" fontId="19" fillId="0" borderId="0" applyFont="0" applyFill="0" applyBorder="0" applyAlignment="0" applyProtection="0"/>
    <xf numFmtId="9" fontId="19" fillId="0" borderId="0" applyFont="0" applyFill="0" applyBorder="0" applyAlignment="0" applyProtection="0"/>
  </cellStyleXfs>
  <cellXfs count="96">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2" fontId="0" fillId="0" borderId="1" xfId="0" applyNumberFormat="1" applyBorder="1" applyAlignment="1">
      <alignment horizontal="right" vertical="center"/>
    </xf>
    <xf numFmtId="2" fontId="0" fillId="0" borderId="0" xfId="0" applyNumberFormat="1" applyAlignment="1">
      <alignment horizontal="right" vertical="center"/>
    </xf>
    <xf numFmtId="0" fontId="0" fillId="2" borderId="1" xfId="0" applyFill="1" applyBorder="1" applyAlignment="1">
      <alignment horizontal="right" vertical="center"/>
    </xf>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8" fillId="0" borderId="0" xfId="0" applyFont="1" applyAlignment="1">
      <alignment horizontal="right" indent="2"/>
    </xf>
    <xf numFmtId="0" fontId="3" fillId="5" borderId="0" xfId="0" applyFont="1" applyFill="1" applyAlignment="1">
      <alignment horizontal="center" wrapText="1"/>
    </xf>
    <xf numFmtId="0" fontId="3" fillId="3" borderId="0" xfId="0" applyFont="1" applyFill="1" applyAlignment="1">
      <alignment horizontal="center" wrapText="1"/>
    </xf>
    <xf numFmtId="0" fontId="3" fillId="0" borderId="0" xfId="0" applyFont="1" applyAlignment="1">
      <alignment horizontal="center" wrapText="1"/>
    </xf>
    <xf numFmtId="0" fontId="11" fillId="0" borderId="1" xfId="0" applyFont="1" applyBorder="1" applyAlignment="1">
      <alignment horizontal="center" vertical="center"/>
    </xf>
    <xf numFmtId="0" fontId="11" fillId="5" borderId="3" xfId="0" applyFont="1" applyFill="1" applyBorder="1" applyAlignment="1">
      <alignment horizontal="center" vertical="center"/>
    </xf>
    <xf numFmtId="0" fontId="11" fillId="5" borderId="1" xfId="0" applyFont="1" applyFill="1" applyBorder="1" applyAlignment="1">
      <alignment horizontal="center" vertical="center"/>
    </xf>
    <xf numFmtId="2" fontId="11" fillId="5" borderId="3" xfId="0" applyNumberFormat="1" applyFont="1" applyFill="1" applyBorder="1" applyAlignment="1">
      <alignment horizontal="center" vertical="center"/>
    </xf>
    <xf numFmtId="2" fontId="11" fillId="5" borderId="1" xfId="0" applyNumberFormat="1" applyFont="1" applyFill="1" applyBorder="1" applyAlignment="1">
      <alignment horizontal="center" vertical="center"/>
    </xf>
    <xf numFmtId="0" fontId="11" fillId="4" borderId="1" xfId="0" applyFont="1" applyFill="1" applyBorder="1" applyAlignment="1">
      <alignment horizontal="center" vertical="center"/>
    </xf>
    <xf numFmtId="2" fontId="11" fillId="4" borderId="1" xfId="0" applyNumberFormat="1" applyFont="1" applyFill="1" applyBorder="1" applyAlignment="1">
      <alignment horizontal="center" vertical="center"/>
    </xf>
    <xf numFmtId="0" fontId="11" fillId="3" borderId="1" xfId="0" applyFont="1" applyFill="1" applyBorder="1" applyAlignment="1">
      <alignment horizontal="center" vertical="center"/>
    </xf>
    <xf numFmtId="2" fontId="11" fillId="3" borderId="1" xfId="0" applyNumberFormat="1" applyFont="1" applyFill="1" applyBorder="1" applyAlignment="1">
      <alignment horizontal="center" vertical="center"/>
    </xf>
    <xf numFmtId="0" fontId="12" fillId="3" borderId="1" xfId="0" applyFont="1" applyFill="1" applyBorder="1" applyAlignment="1">
      <alignment horizontal="center"/>
    </xf>
    <xf numFmtId="0" fontId="11" fillId="3" borderId="2" xfId="0" applyFont="1" applyFill="1" applyBorder="1" applyAlignment="1">
      <alignment horizontal="center" vertical="center"/>
    </xf>
    <xf numFmtId="0" fontId="12" fillId="4" borderId="1" xfId="0" applyFont="1" applyFill="1" applyBorder="1" applyAlignment="1">
      <alignment horizontal="center"/>
    </xf>
    <xf numFmtId="0" fontId="11" fillId="4" borderId="2" xfId="0" applyFont="1" applyFill="1" applyBorder="1" applyAlignment="1">
      <alignment horizontal="center" vertical="center"/>
    </xf>
    <xf numFmtId="0" fontId="11" fillId="5" borderId="0" xfId="0" applyFont="1" applyFill="1" applyAlignment="1">
      <alignment horizontal="center" vertical="center"/>
    </xf>
    <xf numFmtId="0" fontId="12" fillId="3" borderId="0" xfId="0" applyFont="1" applyFill="1" applyAlignment="1">
      <alignment horizontal="center"/>
    </xf>
    <xf numFmtId="0" fontId="12" fillId="5" borderId="1" xfId="0" applyFont="1" applyFill="1" applyBorder="1" applyAlignment="1">
      <alignment horizontal="center"/>
    </xf>
    <xf numFmtId="0" fontId="11" fillId="5" borderId="2" xfId="0" applyFont="1" applyFill="1" applyBorder="1" applyAlignment="1">
      <alignment horizontal="center" vertical="center"/>
    </xf>
    <xf numFmtId="0" fontId="13" fillId="3" borderId="1" xfId="0" applyFont="1" applyFill="1" applyBorder="1" applyAlignment="1">
      <alignment horizontal="center" vertical="center"/>
    </xf>
    <xf numFmtId="2" fontId="13" fillId="3" borderId="1" xfId="0" applyNumberFormat="1" applyFont="1" applyFill="1" applyBorder="1" applyAlignment="1">
      <alignment horizontal="center" vertical="center"/>
    </xf>
    <xf numFmtId="0" fontId="13" fillId="5" borderId="1" xfId="0" applyFont="1" applyFill="1" applyBorder="1" applyAlignment="1">
      <alignment horizontal="center" vertical="center"/>
    </xf>
    <xf numFmtId="0" fontId="13" fillId="5" borderId="2" xfId="0" applyFont="1" applyFill="1" applyBorder="1" applyAlignment="1">
      <alignment horizontal="center" vertical="center"/>
    </xf>
    <xf numFmtId="2" fontId="13" fillId="5" borderId="1" xfId="0" applyNumberFormat="1"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2" fontId="13" fillId="4" borderId="1" xfId="0" applyNumberFormat="1" applyFont="1" applyFill="1" applyBorder="1" applyAlignment="1">
      <alignment horizontal="center" vertical="center"/>
    </xf>
    <xf numFmtId="0" fontId="14" fillId="5" borderId="1" xfId="0" applyFont="1" applyFill="1" applyBorder="1" applyAlignment="1">
      <alignment horizontal="center"/>
    </xf>
    <xf numFmtId="164" fontId="11" fillId="5" borderId="1" xfId="0" applyNumberFormat="1" applyFont="1" applyFill="1" applyBorder="1" applyAlignment="1">
      <alignment horizontal="center" vertical="center"/>
    </xf>
    <xf numFmtId="0" fontId="11" fillId="2" borderId="1" xfId="0" applyFont="1" applyFill="1" applyBorder="1" applyAlignment="1">
      <alignment horizontal="center" vertical="center"/>
    </xf>
    <xf numFmtId="0" fontId="15" fillId="3" borderId="0" xfId="0" applyFont="1" applyFill="1" applyAlignment="1">
      <alignment horizontal="center" wrapText="1"/>
    </xf>
    <xf numFmtId="0" fontId="15" fillId="5" borderId="0" xfId="0" applyFont="1" applyFill="1" applyAlignment="1">
      <alignment horizontal="center" wrapText="1"/>
    </xf>
    <xf numFmtId="0" fontId="16" fillId="5" borderId="0" xfId="0" applyFont="1" applyFill="1" applyAlignment="1">
      <alignment horizontal="center" wrapText="1"/>
    </xf>
    <xf numFmtId="2" fontId="11" fillId="0" borderId="1" xfId="0" applyNumberFormat="1" applyFont="1" applyBorder="1" applyAlignment="1">
      <alignment horizontal="center" vertical="center"/>
    </xf>
    <xf numFmtId="164" fontId="11" fillId="3" borderId="1" xfId="0" applyNumberFormat="1" applyFont="1" applyFill="1" applyBorder="1" applyAlignment="1">
      <alignment horizontal="center" vertical="center"/>
    </xf>
    <xf numFmtId="0" fontId="11" fillId="5" borderId="4" xfId="0" applyFont="1" applyFill="1" applyBorder="1" applyAlignment="1">
      <alignment horizontal="center" vertical="center"/>
    </xf>
    <xf numFmtId="0" fontId="11" fillId="0" borderId="2" xfId="0" applyFont="1" applyBorder="1" applyAlignment="1">
      <alignment horizontal="center" vertical="center"/>
    </xf>
    <xf numFmtId="0" fontId="6" fillId="2" borderId="4" xfId="0" applyFont="1" applyFill="1" applyBorder="1" applyAlignment="1">
      <alignment horizontal="center" vertical="center"/>
    </xf>
    <xf numFmtId="0" fontId="6" fillId="2" borderId="3" xfId="0" applyFont="1" applyFill="1" applyBorder="1" applyAlignment="1">
      <alignment horizontal="center" vertical="center"/>
    </xf>
    <xf numFmtId="2" fontId="6" fillId="2" borderId="3" xfId="0" applyNumberFormat="1" applyFont="1" applyFill="1" applyBorder="1" applyAlignment="1">
      <alignment horizontal="center" vertical="center"/>
    </xf>
    <xf numFmtId="0" fontId="11" fillId="2" borderId="3" xfId="0" applyFont="1" applyFill="1" applyBorder="1" applyAlignment="1">
      <alignment horizontal="center" vertical="center"/>
    </xf>
    <xf numFmtId="0" fontId="13" fillId="2" borderId="1" xfId="0" applyFont="1" applyFill="1" applyBorder="1" applyAlignment="1">
      <alignment horizontal="center" vertical="center"/>
    </xf>
    <xf numFmtId="0" fontId="11" fillId="2" borderId="0" xfId="0" applyFont="1" applyFill="1" applyAlignment="1">
      <alignment horizontal="center"/>
    </xf>
    <xf numFmtId="0" fontId="0" fillId="2" borderId="0" xfId="0" applyFill="1" applyAlignment="1">
      <alignment horizontal="right" vertical="center"/>
    </xf>
    <xf numFmtId="14" fontId="11" fillId="2" borderId="1" xfId="0" applyNumberFormat="1" applyFont="1" applyFill="1" applyBorder="1" applyAlignment="1">
      <alignment horizontal="center" vertical="center"/>
    </xf>
    <xf numFmtId="14" fontId="11" fillId="2" borderId="3" xfId="0" applyNumberFormat="1" applyFont="1" applyFill="1" applyBorder="1" applyAlignment="1">
      <alignment horizontal="center" vertical="center"/>
    </xf>
    <xf numFmtId="14" fontId="13" fillId="2" borderId="1" xfId="0" applyNumberFormat="1" applyFont="1" applyFill="1" applyBorder="1" applyAlignment="1">
      <alignment horizontal="center" vertical="center"/>
    </xf>
    <xf numFmtId="0" fontId="0" fillId="2" borderId="0" xfId="0" applyFill="1"/>
    <xf numFmtId="0" fontId="3" fillId="2" borderId="1" xfId="0" applyFont="1" applyFill="1" applyBorder="1" applyAlignment="1">
      <alignment horizontal="center"/>
    </xf>
    <xf numFmtId="0" fontId="11" fillId="5" borderId="5" xfId="0" applyFont="1" applyFill="1" applyBorder="1" applyAlignment="1">
      <alignment horizontal="center" vertical="center"/>
    </xf>
    <xf numFmtId="0" fontId="11" fillId="5" borderId="6" xfId="0" applyFont="1" applyFill="1" applyBorder="1" applyAlignment="1">
      <alignment horizontal="center" vertical="center"/>
    </xf>
    <xf numFmtId="0" fontId="11" fillId="2" borderId="6" xfId="0" applyFont="1" applyFill="1" applyBorder="1" applyAlignment="1">
      <alignment horizontal="center" vertical="center"/>
    </xf>
    <xf numFmtId="2" fontId="11" fillId="2" borderId="6" xfId="0" applyNumberFormat="1" applyFont="1" applyFill="1" applyBorder="1" applyAlignment="1">
      <alignment horizontal="center" vertical="center"/>
    </xf>
    <xf numFmtId="0" fontId="0" fillId="6" borderId="0" xfId="0" applyFill="1"/>
    <xf numFmtId="0" fontId="0" fillId="0" borderId="0" xfId="0" pivotButton="1"/>
    <xf numFmtId="0" fontId="0" fillId="0" borderId="0" xfId="0" applyAlignment="1">
      <alignment horizontal="right"/>
    </xf>
    <xf numFmtId="165" fontId="0" fillId="0" borderId="0" xfId="0" applyNumberFormat="1"/>
    <xf numFmtId="0" fontId="6" fillId="6" borderId="3" xfId="0" applyFont="1" applyFill="1" applyBorder="1" applyAlignment="1">
      <alignment horizontal="center" vertical="center"/>
    </xf>
    <xf numFmtId="0" fontId="11" fillId="6" borderId="3" xfId="0" applyFont="1" applyFill="1" applyBorder="1" applyAlignment="1">
      <alignment horizontal="center" vertical="center"/>
    </xf>
    <xf numFmtId="0" fontId="11" fillId="6" borderId="1" xfId="0" applyFont="1" applyFill="1" applyBorder="1" applyAlignment="1">
      <alignment horizontal="center" vertical="center"/>
    </xf>
    <xf numFmtId="0" fontId="13" fillId="6" borderId="1" xfId="0" applyFont="1" applyFill="1" applyBorder="1" applyAlignment="1">
      <alignment horizontal="center" vertical="center"/>
    </xf>
    <xf numFmtId="0" fontId="11" fillId="6" borderId="6" xfId="0" applyFont="1" applyFill="1" applyBorder="1" applyAlignment="1">
      <alignment horizontal="center" vertical="center"/>
    </xf>
    <xf numFmtId="0" fontId="0" fillId="6" borderId="1" xfId="0" applyFill="1" applyBorder="1" applyAlignment="1">
      <alignment horizontal="right" vertical="center"/>
    </xf>
    <xf numFmtId="0" fontId="0" fillId="6" borderId="0" xfId="0" applyFill="1" applyAlignment="1">
      <alignment horizontal="right" vertical="center"/>
    </xf>
    <xf numFmtId="165" fontId="11" fillId="2" borderId="6" xfId="0" applyNumberFormat="1" applyFont="1" applyFill="1" applyBorder="1" applyAlignment="1">
      <alignment horizontal="center" vertical="center"/>
    </xf>
    <xf numFmtId="14" fontId="6" fillId="2" borderId="3" xfId="0" applyNumberFormat="1" applyFont="1" applyFill="1" applyBorder="1" applyAlignment="1">
      <alignment horizontal="center" vertical="center"/>
    </xf>
    <xf numFmtId="14" fontId="11" fillId="2" borderId="6" xfId="0" applyNumberFormat="1" applyFont="1" applyFill="1" applyBorder="1" applyAlignment="1">
      <alignment horizontal="center" vertical="center"/>
    </xf>
    <xf numFmtId="14" fontId="0" fillId="2" borderId="1" xfId="0" applyNumberFormat="1" applyFill="1" applyBorder="1" applyAlignment="1">
      <alignment horizontal="right" vertical="center"/>
    </xf>
    <xf numFmtId="14" fontId="0" fillId="2" borderId="0" xfId="0" applyNumberFormat="1" applyFill="1" applyAlignment="1">
      <alignment horizontal="right" vertical="center"/>
    </xf>
    <xf numFmtId="2" fontId="11" fillId="5" borderId="7" xfId="0" applyNumberFormat="1" applyFont="1" applyFill="1" applyBorder="1" applyAlignment="1">
      <alignment horizontal="center" vertical="center"/>
    </xf>
    <xf numFmtId="10" fontId="0" fillId="0" borderId="0" xfId="0" applyNumberFormat="1"/>
    <xf numFmtId="0" fontId="0" fillId="7" borderId="0" xfId="0" applyFill="1"/>
    <xf numFmtId="0" fontId="0" fillId="8" borderId="0" xfId="0" applyFill="1"/>
    <xf numFmtId="0" fontId="20" fillId="9" borderId="0" xfId="0" applyFont="1" applyFill="1" applyAlignment="1">
      <alignment horizontal="right" vertical="center"/>
    </xf>
    <xf numFmtId="165" fontId="0" fillId="0" borderId="0" xfId="1" applyNumberFormat="1" applyFont="1"/>
    <xf numFmtId="9" fontId="0" fillId="0" borderId="0" xfId="2" applyFont="1"/>
    <xf numFmtId="0" fontId="0" fillId="10" borderId="0" xfId="0" applyFill="1"/>
    <xf numFmtId="0" fontId="17" fillId="6" borderId="0" xfId="0" applyFont="1" applyFill="1" applyAlignment="1">
      <alignment horizontal="center" vertical="center"/>
    </xf>
    <xf numFmtId="0" fontId="0" fillId="0" borderId="0" xfId="0" applyNumberFormat="1"/>
  </cellXfs>
  <cellStyles count="3">
    <cellStyle name="Comma" xfId="1" builtinId="3"/>
    <cellStyle name="Normal" xfId="0" builtinId="0"/>
    <cellStyle name="Percent" xfId="2" builtinId="5"/>
  </cellStyles>
  <dxfs count="117">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numFmt numFmtId="165" formatCode="_-* #,##0_-;\-* #,##0_-;_-* &quot;-&quot;??_-;_-@_-"/>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2"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top/>
        <bottom/>
      </border>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fill>
        <patternFill>
          <fgColor rgb="FF182540"/>
        </patternFill>
      </fill>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font>
        <b val="0"/>
        <i val="0"/>
        <strike val="0"/>
        <condense val="0"/>
        <extend val="0"/>
        <outline val="0"/>
        <shadow val="0"/>
        <u val="none"/>
        <vertAlign val="baseline"/>
        <sz val="16"/>
        <color theme="1"/>
        <name val="Calibri"/>
        <family val="2"/>
        <scheme val="minor"/>
      </font>
      <fill>
        <patternFill patternType="solid">
          <fgColor indexed="64"/>
          <bgColor rgb="FF92D050"/>
        </patternFill>
      </fill>
      <alignment horizontal="right"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fill>
        <patternFill patternType="solid">
          <fgColor indexed="64"/>
          <bgColor rgb="FF92D050"/>
        </patternFill>
      </fill>
      <alignment horizontal="right"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fill>
        <patternFill patternType="solid">
          <fgColor indexed="64"/>
          <bgColor rgb="FF92D050"/>
        </patternFill>
      </fill>
      <alignment horizontal="right"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fill>
        <patternFill patternType="solid">
          <fgColor indexed="64"/>
          <bgColor rgb="FF92D050"/>
        </patternFill>
      </fill>
      <alignment horizontal="right"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0" formatCode="General"/>
      <fill>
        <patternFill patternType="solid">
          <fgColor indexed="64"/>
          <bgColor theme="9"/>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0" formatCode="General"/>
      <fill>
        <patternFill patternType="solid">
          <fgColor indexed="64"/>
          <bgColor theme="9"/>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numFmt numFmtId="19" formatCode="dd/m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numFmt numFmtId="19" formatCode="dd/m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2"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ont>
        <b val="0"/>
        <i val="0"/>
        <strike val="0"/>
        <condense val="0"/>
        <extend val="0"/>
        <outline val="0"/>
        <shadow val="0"/>
        <u val="none"/>
        <vertAlign val="baseline"/>
        <sz val="14"/>
        <color theme="1"/>
        <name val="Calibri"/>
        <family val="2"/>
        <scheme val="minor"/>
      </font>
      <fill>
        <patternFill patternType="solid">
          <fgColor indexed="64"/>
          <bgColor theme="9"/>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5" defaultTableStyle="TableStyleMedium2" defaultPivotStyle="PivotStyleLight16">
    <tableStyle name="Invisible" pivot="0" table="0" count="0" xr9:uid="{AA73528B-8D85-432A-9172-AA70B5E8C669}"/>
    <tableStyle name="Slicer Style 1" pivot="0" table="0" count="1" xr9:uid="{198A4FE8-E1FB-41BB-BD89-A56CD45FB36E}">
      <tableStyleElement type="wholeTable" dxfId="64"/>
    </tableStyle>
    <tableStyle name="Slicer Style 2" pivot="0" table="0" count="0" xr9:uid="{06064810-0915-4A1B-9F85-17F1920670BA}"/>
    <tableStyle name="Slicer Style 3" pivot="0" table="0" count="1" xr9:uid="{5AFCDB7A-3C3E-4AF0-A208-18145CAFD09E}"/>
    <tableStyle name="Slicer Style 4" pivot="0" table="0" count="1" xr9:uid="{DED0D06A-BE25-486A-A84C-FE592558EB65}"/>
  </tableStyles>
  <colors>
    <mruColors>
      <color rgb="FF182540"/>
      <color rgb="FFF21D2F"/>
      <color rgb="FFF2F2F2"/>
    </mruColors>
  </colors>
  <extLst>
    <ext xmlns:x14="http://schemas.microsoft.com/office/spreadsheetml/2009/9/main" uri="{46F421CA-312F-682f-3DD2-61675219B42D}">
      <x14:dxfs count="2">
        <dxf>
          <fill>
            <patternFill>
              <fgColor rgb="FF182540"/>
            </patternFill>
          </fill>
        </dxf>
        <dxf>
          <fill>
            <patternFill>
              <fgColor rgb="FFF21D2F"/>
            </patternFill>
          </fill>
        </dxf>
      </x14:dxfs>
    </ext>
    <ext xmlns:x14="http://schemas.microsoft.com/office/spreadsheetml/2009/9/main" uri="{EB79DEF2-80B8-43e5-95BD-54CBDDF9020C}">
      <x14:slicerStyles defaultSlicerStyle="Slicer Style 4">
        <x14:slicerStyle name="Slicer Style 1"/>
        <x14:slicerStyle name="Slicer Style 2"/>
        <x14:slicerStyle name="Slicer Style 3">
          <x14:slicerStyleElements>
            <x14:slicerStyleElement type="selectedItemWithData" dxfId="1"/>
          </x14:slicerStyleElements>
        </x14:slicerStyle>
        <x14:slicerStyle name="Slicer Style 4">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-eslam ragab atyia.xlsx]pivot _t!PivotTable5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1D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_t'!$T$10</c:f>
              <c:strCache>
                <c:ptCount val="1"/>
                <c:pt idx="0">
                  <c:v>Total</c:v>
                </c:pt>
              </c:strCache>
            </c:strRef>
          </c:tx>
          <c:spPr>
            <a:solidFill>
              <a:srgbClr val="F21D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_t'!$S$11:$S$16</c:f>
              <c:strCache>
                <c:ptCount val="5"/>
                <c:pt idx="0">
                  <c:v>تربيزه</c:v>
                </c:pt>
                <c:pt idx="1">
                  <c:v>ركنة</c:v>
                </c:pt>
                <c:pt idx="2">
                  <c:v>سرير</c:v>
                </c:pt>
                <c:pt idx="3">
                  <c:v>كرسى</c:v>
                </c:pt>
                <c:pt idx="4">
                  <c:v>كنبة </c:v>
                </c:pt>
              </c:strCache>
            </c:strRef>
          </c:cat>
          <c:val>
            <c:numRef>
              <c:f>'pivot _t'!$T$11:$T$16</c:f>
              <c:numCache>
                <c:formatCode>General</c:formatCode>
                <c:ptCount val="5"/>
                <c:pt idx="0">
                  <c:v>17</c:v>
                </c:pt>
                <c:pt idx="1">
                  <c:v>1</c:v>
                </c:pt>
                <c:pt idx="2">
                  <c:v>88</c:v>
                </c:pt>
                <c:pt idx="3">
                  <c:v>1</c:v>
                </c:pt>
                <c:pt idx="4">
                  <c:v>18</c:v>
                </c:pt>
              </c:numCache>
            </c:numRef>
          </c:val>
          <c:extLst>
            <c:ext xmlns:c16="http://schemas.microsoft.com/office/drawing/2014/chart" uri="{C3380CC4-5D6E-409C-BE32-E72D297353CC}">
              <c16:uniqueId val="{00000000-A4AB-4AFF-8D58-468B50691F6A}"/>
            </c:ext>
          </c:extLst>
        </c:ser>
        <c:dLbls>
          <c:dLblPos val="outEnd"/>
          <c:showLegendKey val="0"/>
          <c:showVal val="1"/>
          <c:showCatName val="0"/>
          <c:showSerName val="0"/>
          <c:showPercent val="0"/>
          <c:showBubbleSize val="0"/>
        </c:dLbls>
        <c:gapWidth val="182"/>
        <c:axId val="366724376"/>
        <c:axId val="366723296"/>
      </c:barChart>
      <c:catAx>
        <c:axId val="366724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6723296"/>
        <c:crosses val="autoZero"/>
        <c:auto val="1"/>
        <c:lblAlgn val="ctr"/>
        <c:lblOffset val="100"/>
        <c:noMultiLvlLbl val="0"/>
      </c:catAx>
      <c:valAx>
        <c:axId val="36672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6724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-eslam ragab atyia.xlsx]pivot _t!PivotTable6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21D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75765529308834E-2"/>
          <c:y val="0.13506683757553561"/>
          <c:w val="0.90286351706036749"/>
          <c:h val="0.43537422938411768"/>
        </c:manualLayout>
      </c:layout>
      <c:lineChart>
        <c:grouping val="standard"/>
        <c:varyColors val="0"/>
        <c:ser>
          <c:idx val="0"/>
          <c:order val="0"/>
          <c:tx>
            <c:strRef>
              <c:f>'pivot _t'!$W$5</c:f>
              <c:strCache>
                <c:ptCount val="1"/>
                <c:pt idx="0">
                  <c:v>Total</c:v>
                </c:pt>
              </c:strCache>
            </c:strRef>
          </c:tx>
          <c:spPr>
            <a:ln w="28575" cap="rnd">
              <a:solidFill>
                <a:srgbClr val="F21D2F"/>
              </a:solidFill>
              <a:round/>
            </a:ln>
            <a:effectLst/>
          </c:spPr>
          <c:marker>
            <c:symbol val="none"/>
          </c:marker>
          <c:cat>
            <c:strRef>
              <c:f>'pivot _t'!$V$6:$V$19</c:f>
              <c:strCache>
                <c:ptCount val="13"/>
                <c:pt idx="0">
                  <c:v>اسود</c:v>
                </c:pt>
                <c:pt idx="1">
                  <c:v>ابيض</c:v>
                </c:pt>
                <c:pt idx="2">
                  <c:v>اسود </c:v>
                </c:pt>
                <c:pt idx="3">
                  <c:v>رمادى</c:v>
                </c:pt>
                <c:pt idx="4">
                  <c:v>الوان</c:v>
                </c:pt>
                <c:pt idx="5">
                  <c:v>ازرق</c:v>
                </c:pt>
                <c:pt idx="6">
                  <c:v>دهبي</c:v>
                </c:pt>
                <c:pt idx="7">
                  <c:v>اسود وبنى</c:v>
                </c:pt>
                <c:pt idx="8">
                  <c:v>نبيتى </c:v>
                </c:pt>
                <c:pt idx="9">
                  <c:v>بنفسجى</c:v>
                </c:pt>
                <c:pt idx="10">
                  <c:v>بينك</c:v>
                </c:pt>
                <c:pt idx="11">
                  <c:v>اسزد</c:v>
                </c:pt>
                <c:pt idx="12">
                  <c:v>ملون</c:v>
                </c:pt>
              </c:strCache>
            </c:strRef>
          </c:cat>
          <c:val>
            <c:numRef>
              <c:f>'pivot _t'!$W$6:$W$19</c:f>
              <c:numCache>
                <c:formatCode>General</c:formatCode>
                <c:ptCount val="13"/>
                <c:pt idx="0">
                  <c:v>40</c:v>
                </c:pt>
                <c:pt idx="1">
                  <c:v>37</c:v>
                </c:pt>
                <c:pt idx="2">
                  <c:v>21</c:v>
                </c:pt>
                <c:pt idx="3">
                  <c:v>8</c:v>
                </c:pt>
                <c:pt idx="4">
                  <c:v>4</c:v>
                </c:pt>
                <c:pt idx="5">
                  <c:v>3</c:v>
                </c:pt>
                <c:pt idx="6">
                  <c:v>2</c:v>
                </c:pt>
                <c:pt idx="7">
                  <c:v>2</c:v>
                </c:pt>
                <c:pt idx="8">
                  <c:v>2</c:v>
                </c:pt>
                <c:pt idx="9">
                  <c:v>2</c:v>
                </c:pt>
                <c:pt idx="10">
                  <c:v>2</c:v>
                </c:pt>
                <c:pt idx="11">
                  <c:v>1</c:v>
                </c:pt>
                <c:pt idx="12">
                  <c:v>1</c:v>
                </c:pt>
              </c:numCache>
            </c:numRef>
          </c:val>
          <c:smooth val="0"/>
          <c:extLst>
            <c:ext xmlns:c16="http://schemas.microsoft.com/office/drawing/2014/chart" uri="{C3380CC4-5D6E-409C-BE32-E72D297353CC}">
              <c16:uniqueId val="{00000000-0D3D-4ED8-A4A0-D515B14CFD34}"/>
            </c:ext>
          </c:extLst>
        </c:ser>
        <c:dLbls>
          <c:showLegendKey val="0"/>
          <c:showVal val="0"/>
          <c:showCatName val="0"/>
          <c:showSerName val="0"/>
          <c:showPercent val="0"/>
          <c:showBubbleSize val="0"/>
        </c:dLbls>
        <c:smooth val="0"/>
        <c:axId val="672815360"/>
        <c:axId val="672810680"/>
      </c:lineChart>
      <c:catAx>
        <c:axId val="672815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2810680"/>
        <c:crosses val="autoZero"/>
        <c:auto val="1"/>
        <c:lblAlgn val="ctr"/>
        <c:lblOffset val="100"/>
        <c:noMultiLvlLbl val="0"/>
      </c:catAx>
      <c:valAx>
        <c:axId val="6728106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2815360"/>
        <c:crosses val="autoZero"/>
        <c:crossBetween val="between"/>
      </c:valAx>
      <c:spPr>
        <a:noFill/>
        <a:ln>
          <a:solidFill>
            <a:srgbClr val="18254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-eslam ragab atyia.xlsx]pivot _t!PivotTable8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1D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506250278037292E-2"/>
          <c:y val="7.191984213652125E-2"/>
          <c:w val="0.91058765959339827"/>
          <c:h val="0.50293158610648125"/>
        </c:manualLayout>
      </c:layout>
      <c:barChart>
        <c:barDir val="col"/>
        <c:grouping val="clustered"/>
        <c:varyColors val="0"/>
        <c:ser>
          <c:idx val="0"/>
          <c:order val="0"/>
          <c:tx>
            <c:strRef>
              <c:f>'pivot _t'!$AH$8</c:f>
              <c:strCache>
                <c:ptCount val="1"/>
                <c:pt idx="0">
                  <c:v>Total</c:v>
                </c:pt>
              </c:strCache>
            </c:strRef>
          </c:tx>
          <c:spPr>
            <a:solidFill>
              <a:srgbClr val="F21D2F"/>
            </a:solidFill>
            <a:ln>
              <a:noFill/>
            </a:ln>
            <a:effectLst/>
          </c:spPr>
          <c:invertIfNegative val="0"/>
          <c:cat>
            <c:strRef>
              <c:f>'pivot _t'!$AG$9:$AG$50</c:f>
              <c:strCache>
                <c:ptCount val="41"/>
                <c:pt idx="0">
                  <c:v>القاهره الجديده</c:v>
                </c:pt>
                <c:pt idx="1">
                  <c:v>مخزن شيك هومز</c:v>
                </c:pt>
                <c:pt idx="2">
                  <c:v>٦ اكتوبر الجيزه </c:v>
                </c:pt>
                <c:pt idx="3">
                  <c:v>العباسيه</c:v>
                </c:pt>
                <c:pt idx="4">
                  <c:v>اكتوبر الجيزه</c:v>
                </c:pt>
                <c:pt idx="5">
                  <c:v>المعادى</c:v>
                </c:pt>
                <c:pt idx="6">
                  <c:v>الشروق</c:v>
                </c:pt>
                <c:pt idx="7">
                  <c:v>التجمع الخامس</c:v>
                </c:pt>
                <c:pt idx="8">
                  <c:v>الغردقه </c:v>
                </c:pt>
                <c:pt idx="9">
                  <c:v>الرحاب</c:v>
                </c:pt>
                <c:pt idx="10">
                  <c:v>الشيخ زايد اكتوبر</c:v>
                </c:pt>
                <c:pt idx="11">
                  <c:v>مصر الجديده</c:v>
                </c:pt>
                <c:pt idx="12">
                  <c:v>المقطم </c:v>
                </c:pt>
                <c:pt idx="13">
                  <c:v>المخزن ابو الغيط </c:v>
                </c:pt>
                <c:pt idx="14">
                  <c:v>العين السخنه</c:v>
                </c:pt>
                <c:pt idx="15">
                  <c:v>سيدى عبد الرحمن - الساحل الشمالى </c:v>
                </c:pt>
                <c:pt idx="16">
                  <c:v>حدايق الاهرام </c:v>
                </c:pt>
                <c:pt idx="17">
                  <c:v>السويس </c:v>
                </c:pt>
                <c:pt idx="18">
                  <c:v>Madinet Badr</c:v>
                </c:pt>
                <c:pt idx="19">
                  <c:v>EL-Maadi</c:v>
                </c:pt>
                <c:pt idx="20">
                  <c:v>مدينه نصر </c:v>
                </c:pt>
                <c:pt idx="21">
                  <c:v>العبور</c:v>
                </c:pt>
                <c:pt idx="22">
                  <c:v>القطاميه</c:v>
                </c:pt>
                <c:pt idx="23">
                  <c:v>مخزن اوسكار في القناطر </c:v>
                </c:pt>
                <c:pt idx="24">
                  <c:v>المندره اسكندريه</c:v>
                </c:pt>
                <c:pt idx="25">
                  <c:v>لافيستا العين السخنه </c:v>
                </c:pt>
                <c:pt idx="26">
                  <c:v>اسيوط </c:v>
                </c:pt>
                <c:pt idx="27">
                  <c:v>البطاش اسكندريه</c:v>
                </c:pt>
                <c:pt idx="28">
                  <c:v>مدينتى</c:v>
                </c:pt>
                <c:pt idx="29">
                  <c:v>شبرا </c:v>
                </c:pt>
                <c:pt idx="30">
                  <c:v>اب تاون كايرو التجمع </c:v>
                </c:pt>
                <c:pt idx="31">
                  <c:v>سموحه - اسكندريه</c:v>
                </c:pt>
                <c:pt idx="32">
                  <c:v>العجوزه - الجيزه</c:v>
                </c:pt>
                <c:pt idx="33">
                  <c:v>١٨ شارع البحيري بولاق الدكرور الجيزه </c:v>
                </c:pt>
                <c:pt idx="34">
                  <c:v>الزمالك</c:v>
                </c:pt>
                <c:pt idx="35">
                  <c:v>المعرض مدينه نصر</c:v>
                </c:pt>
                <c:pt idx="36">
                  <c:v>جليم الإسكندرية </c:v>
                </c:pt>
                <c:pt idx="37">
                  <c:v>فيصل الجيزه</c:v>
                </c:pt>
                <c:pt idx="38">
                  <c:v>الابراهيميه . الإسكندرية </c:v>
                </c:pt>
                <c:pt idx="39">
                  <c:v>المخزن</c:v>
                </c:pt>
                <c:pt idx="40">
                  <c:v>41 كومبوند جولدن جستس الدور 4 شقه 4</c:v>
                </c:pt>
              </c:strCache>
            </c:strRef>
          </c:cat>
          <c:val>
            <c:numRef>
              <c:f>'pivot _t'!$AH$9:$AH$50</c:f>
              <c:numCache>
                <c:formatCode>_-* #,##0_-;\-* #,##0_-;_-* "-"??_-;_-@_-</c:formatCode>
                <c:ptCount val="41"/>
                <c:pt idx="0">
                  <c:v>158284</c:v>
                </c:pt>
                <c:pt idx="1">
                  <c:v>143790</c:v>
                </c:pt>
                <c:pt idx="2">
                  <c:v>116089</c:v>
                </c:pt>
                <c:pt idx="3">
                  <c:v>91843</c:v>
                </c:pt>
                <c:pt idx="4">
                  <c:v>57397</c:v>
                </c:pt>
                <c:pt idx="5">
                  <c:v>47893</c:v>
                </c:pt>
                <c:pt idx="6">
                  <c:v>43346</c:v>
                </c:pt>
                <c:pt idx="7">
                  <c:v>41799</c:v>
                </c:pt>
                <c:pt idx="8">
                  <c:v>41640</c:v>
                </c:pt>
                <c:pt idx="9">
                  <c:v>35772</c:v>
                </c:pt>
                <c:pt idx="10">
                  <c:v>35115</c:v>
                </c:pt>
                <c:pt idx="11">
                  <c:v>26998</c:v>
                </c:pt>
                <c:pt idx="12">
                  <c:v>26697</c:v>
                </c:pt>
                <c:pt idx="13">
                  <c:v>26453</c:v>
                </c:pt>
                <c:pt idx="14">
                  <c:v>26277</c:v>
                </c:pt>
                <c:pt idx="15">
                  <c:v>24288</c:v>
                </c:pt>
                <c:pt idx="16">
                  <c:v>23898</c:v>
                </c:pt>
                <c:pt idx="17">
                  <c:v>23144.905440000002</c:v>
                </c:pt>
                <c:pt idx="18">
                  <c:v>21999</c:v>
                </c:pt>
                <c:pt idx="19">
                  <c:v>21998</c:v>
                </c:pt>
                <c:pt idx="20">
                  <c:v>21448</c:v>
                </c:pt>
                <c:pt idx="21">
                  <c:v>20568</c:v>
                </c:pt>
                <c:pt idx="22">
                  <c:v>19948</c:v>
                </c:pt>
                <c:pt idx="23">
                  <c:v>16080</c:v>
                </c:pt>
                <c:pt idx="24">
                  <c:v>14905</c:v>
                </c:pt>
                <c:pt idx="25">
                  <c:v>13099</c:v>
                </c:pt>
                <c:pt idx="26">
                  <c:v>12999</c:v>
                </c:pt>
                <c:pt idx="27">
                  <c:v>12899</c:v>
                </c:pt>
                <c:pt idx="28">
                  <c:v>12099</c:v>
                </c:pt>
                <c:pt idx="29">
                  <c:v>10885</c:v>
                </c:pt>
                <c:pt idx="30">
                  <c:v>10445</c:v>
                </c:pt>
                <c:pt idx="31">
                  <c:v>10160</c:v>
                </c:pt>
                <c:pt idx="32">
                  <c:v>10160</c:v>
                </c:pt>
                <c:pt idx="33">
                  <c:v>9450</c:v>
                </c:pt>
                <c:pt idx="34">
                  <c:v>8899</c:v>
                </c:pt>
                <c:pt idx="35">
                  <c:v>8544.91</c:v>
                </c:pt>
                <c:pt idx="36">
                  <c:v>8449</c:v>
                </c:pt>
                <c:pt idx="37">
                  <c:v>8349</c:v>
                </c:pt>
                <c:pt idx="38">
                  <c:v>8349</c:v>
                </c:pt>
                <c:pt idx="39">
                  <c:v>5294</c:v>
                </c:pt>
                <c:pt idx="40">
                  <c:v>5135</c:v>
                </c:pt>
              </c:numCache>
            </c:numRef>
          </c:val>
          <c:extLst>
            <c:ext xmlns:c16="http://schemas.microsoft.com/office/drawing/2014/chart" uri="{C3380CC4-5D6E-409C-BE32-E72D297353CC}">
              <c16:uniqueId val="{00000000-35DE-4CEC-85A4-B4549FD96FA3}"/>
            </c:ext>
          </c:extLst>
        </c:ser>
        <c:dLbls>
          <c:showLegendKey val="0"/>
          <c:showVal val="0"/>
          <c:showCatName val="0"/>
          <c:showSerName val="0"/>
          <c:showPercent val="0"/>
          <c:showBubbleSize val="0"/>
        </c:dLbls>
        <c:gapWidth val="219"/>
        <c:overlap val="-27"/>
        <c:axId val="397946544"/>
        <c:axId val="397940064"/>
      </c:barChart>
      <c:catAx>
        <c:axId val="3979465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7940064"/>
        <c:crosses val="autoZero"/>
        <c:auto val="1"/>
        <c:lblAlgn val="ctr"/>
        <c:lblOffset val="100"/>
        <c:noMultiLvlLbl val="0"/>
      </c:catAx>
      <c:valAx>
        <c:axId val="397940064"/>
        <c:scaling>
          <c:orientation val="minMax"/>
        </c:scaling>
        <c:delete val="1"/>
        <c:axPos val="l"/>
        <c:numFmt formatCode="_-* #,##0_-;\-* #,##0_-;_-* &quot;-&quot;??_-;_-@_-" sourceLinked="1"/>
        <c:majorTickMark val="none"/>
        <c:minorTickMark val="none"/>
        <c:tickLblPos val="nextTo"/>
        <c:crossAx val="397946544"/>
        <c:crosses val="autoZero"/>
        <c:crossBetween val="between"/>
      </c:valAx>
      <c:spPr>
        <a:solidFill>
          <a:srgbClr val="18254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-eslam ragab atyia.xlsx]pivot _t!PivotTable4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1D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21D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1D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752006425409596E-3"/>
          <c:y val="0"/>
          <c:w val="0.99463313354487404"/>
          <c:h val="0.85633355301952885"/>
        </c:manualLayout>
      </c:layout>
      <c:barChart>
        <c:barDir val="col"/>
        <c:grouping val="clustered"/>
        <c:varyColors val="0"/>
        <c:ser>
          <c:idx val="0"/>
          <c:order val="0"/>
          <c:tx>
            <c:strRef>
              <c:f>'pivot _t'!$N$12</c:f>
              <c:strCache>
                <c:ptCount val="1"/>
                <c:pt idx="0">
                  <c:v>Total</c:v>
                </c:pt>
              </c:strCache>
            </c:strRef>
          </c:tx>
          <c:spPr>
            <a:solidFill>
              <a:srgbClr val="F21D2F"/>
            </a:solidFill>
            <a:ln>
              <a:noFill/>
            </a:ln>
            <a:effectLst/>
          </c:spPr>
          <c:invertIfNegative val="0"/>
          <c:cat>
            <c:strRef>
              <c:f>'pivot _t'!$M$13:$M$22</c:f>
              <c:strCache>
                <c:ptCount val="9"/>
                <c:pt idx="0">
                  <c:v>السويس</c:v>
                </c:pt>
                <c:pt idx="1">
                  <c:v>اوسكار ريتن </c:v>
                </c:pt>
                <c:pt idx="2">
                  <c:v>تاكى</c:v>
                </c:pt>
                <c:pt idx="3">
                  <c:v>شيك هومز </c:v>
                </c:pt>
                <c:pt idx="4">
                  <c:v>فيسبوك</c:v>
                </c:pt>
                <c:pt idx="5">
                  <c:v>كيمت </c:v>
                </c:pt>
                <c:pt idx="6">
                  <c:v>مسيو هومزمارت</c:v>
                </c:pt>
                <c:pt idx="7">
                  <c:v>منزلى</c:v>
                </c:pt>
                <c:pt idx="8">
                  <c:v>هومزمارت</c:v>
                </c:pt>
              </c:strCache>
            </c:strRef>
          </c:cat>
          <c:val>
            <c:numRef>
              <c:f>'pivot _t'!$N$13:$N$22</c:f>
              <c:numCache>
                <c:formatCode>General</c:formatCode>
                <c:ptCount val="9"/>
                <c:pt idx="0">
                  <c:v>3</c:v>
                </c:pt>
                <c:pt idx="1">
                  <c:v>13</c:v>
                </c:pt>
                <c:pt idx="2">
                  <c:v>9</c:v>
                </c:pt>
                <c:pt idx="3">
                  <c:v>16</c:v>
                </c:pt>
                <c:pt idx="4">
                  <c:v>3</c:v>
                </c:pt>
                <c:pt idx="5">
                  <c:v>1</c:v>
                </c:pt>
                <c:pt idx="6">
                  <c:v>2</c:v>
                </c:pt>
                <c:pt idx="7">
                  <c:v>2</c:v>
                </c:pt>
                <c:pt idx="8">
                  <c:v>76</c:v>
                </c:pt>
              </c:numCache>
            </c:numRef>
          </c:val>
          <c:extLst>
            <c:ext xmlns:c16="http://schemas.microsoft.com/office/drawing/2014/chart" uri="{C3380CC4-5D6E-409C-BE32-E72D297353CC}">
              <c16:uniqueId val="{00000000-C3C3-489A-8223-693E15E82B24}"/>
            </c:ext>
          </c:extLst>
        </c:ser>
        <c:dLbls>
          <c:showLegendKey val="0"/>
          <c:showVal val="0"/>
          <c:showCatName val="0"/>
          <c:showSerName val="0"/>
          <c:showPercent val="0"/>
          <c:showBubbleSize val="0"/>
        </c:dLbls>
        <c:gapWidth val="219"/>
        <c:overlap val="-27"/>
        <c:axId val="412856784"/>
        <c:axId val="412857504"/>
      </c:barChart>
      <c:catAx>
        <c:axId val="41285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2857504"/>
        <c:crosses val="autoZero"/>
        <c:auto val="1"/>
        <c:lblAlgn val="ctr"/>
        <c:lblOffset val="100"/>
        <c:noMultiLvlLbl val="0"/>
      </c:catAx>
      <c:valAx>
        <c:axId val="412857504"/>
        <c:scaling>
          <c:orientation val="minMax"/>
        </c:scaling>
        <c:delete val="1"/>
        <c:axPos val="l"/>
        <c:numFmt formatCode="General" sourceLinked="1"/>
        <c:majorTickMark val="out"/>
        <c:minorTickMark val="none"/>
        <c:tickLblPos val="nextTo"/>
        <c:crossAx val="412856784"/>
        <c:crosses val="autoZero"/>
        <c:crossBetween val="between"/>
      </c:valAx>
      <c:spPr>
        <a:solidFill>
          <a:srgbClr val="18254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-eslam ragab atyia.xlsx]pivot _t!PivotTable10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2F2F2"/>
          </a:solidFill>
          <a:ln w="19050">
            <a:solidFill>
              <a:schemeClr val="lt1"/>
            </a:solidFill>
          </a:ln>
          <a:effectLst/>
        </c:spPr>
        <c:dLbl>
          <c:idx val="0"/>
          <c:layout>
            <c:manualLayout>
              <c:x val="5.5436978828350685E-2"/>
              <c:y val="-6.8758569357934736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21D2F"/>
          </a:solidFill>
          <a:ln w="19050">
            <a:solidFill>
              <a:schemeClr val="lt1"/>
            </a:solidFill>
          </a:ln>
          <a:effectLst/>
        </c:spPr>
        <c:dLbl>
          <c:idx val="0"/>
          <c:layout>
            <c:manualLayout>
              <c:x val="-4.9210750064692617E-2"/>
              <c:y val="-3.2953343518627334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_t'!$AT$6</c:f>
              <c:strCache>
                <c:ptCount val="1"/>
                <c:pt idx="0">
                  <c:v>Total</c:v>
                </c:pt>
              </c:strCache>
            </c:strRef>
          </c:tx>
          <c:dPt>
            <c:idx val="0"/>
            <c:bubble3D val="0"/>
            <c:spPr>
              <a:solidFill>
                <a:srgbClr val="F2F2F2"/>
              </a:solidFill>
              <a:ln w="19050">
                <a:solidFill>
                  <a:schemeClr val="lt1"/>
                </a:solidFill>
              </a:ln>
              <a:effectLst/>
            </c:spPr>
            <c:extLst>
              <c:ext xmlns:c16="http://schemas.microsoft.com/office/drawing/2014/chart" uri="{C3380CC4-5D6E-409C-BE32-E72D297353CC}">
                <c16:uniqueId val="{00000001-A82D-458B-B789-E6F03803339D}"/>
              </c:ext>
            </c:extLst>
          </c:dPt>
          <c:dPt>
            <c:idx val="1"/>
            <c:bubble3D val="0"/>
            <c:spPr>
              <a:solidFill>
                <a:srgbClr val="F21D2F"/>
              </a:solidFill>
              <a:ln w="19050">
                <a:solidFill>
                  <a:schemeClr val="lt1"/>
                </a:solidFill>
              </a:ln>
              <a:effectLst/>
            </c:spPr>
            <c:extLst>
              <c:ext xmlns:c16="http://schemas.microsoft.com/office/drawing/2014/chart" uri="{C3380CC4-5D6E-409C-BE32-E72D297353CC}">
                <c16:uniqueId val="{00000003-A82D-458B-B789-E6F03803339D}"/>
              </c:ext>
            </c:extLst>
          </c:dPt>
          <c:dLbls>
            <c:dLbl>
              <c:idx val="0"/>
              <c:layout>
                <c:manualLayout>
                  <c:x val="5.5436978828350685E-2"/>
                  <c:y val="-6.8758569357934736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2D-458B-B789-E6F03803339D}"/>
                </c:ext>
              </c:extLst>
            </c:dLbl>
            <c:dLbl>
              <c:idx val="1"/>
              <c:layout>
                <c:manualLayout>
                  <c:x val="-4.9210750064692617E-2"/>
                  <c:y val="-3.2953343518627334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2D-458B-B789-E6F0380333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_t'!$AS$7:$AS$9</c:f>
              <c:strCache>
                <c:ptCount val="2"/>
                <c:pt idx="0">
                  <c:v>عدد الاشخاص</c:v>
                </c:pt>
                <c:pt idx="1">
                  <c:v>عددالشركات</c:v>
                </c:pt>
              </c:strCache>
            </c:strRef>
          </c:cat>
          <c:val>
            <c:numRef>
              <c:f>'pivot _t'!$AT$7:$AT$9</c:f>
              <c:numCache>
                <c:formatCode>General</c:formatCode>
                <c:ptCount val="2"/>
                <c:pt idx="0">
                  <c:v>86</c:v>
                </c:pt>
                <c:pt idx="1">
                  <c:v>39</c:v>
                </c:pt>
              </c:numCache>
            </c:numRef>
          </c:val>
          <c:extLst>
            <c:ext xmlns:c16="http://schemas.microsoft.com/office/drawing/2014/chart" uri="{C3380CC4-5D6E-409C-BE32-E72D297353CC}">
              <c16:uniqueId val="{00000004-A82D-458B-B789-E6F0380333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95251</xdr:colOff>
      <xdr:row>0</xdr:row>
      <xdr:rowOff>142875</xdr:rowOff>
    </xdr:from>
    <xdr:to>
      <xdr:col>24</xdr:col>
      <xdr:colOff>47626</xdr:colOff>
      <xdr:row>4</xdr:row>
      <xdr:rowOff>0</xdr:rowOff>
    </xdr:to>
    <xdr:sp macro="" textlink="">
      <xdr:nvSpPr>
        <xdr:cNvPr id="3" name="Rectangle: Rounded Corners 2">
          <a:extLst>
            <a:ext uri="{FF2B5EF4-FFF2-40B4-BE49-F238E27FC236}">
              <a16:creationId xmlns:a16="http://schemas.microsoft.com/office/drawing/2014/main" id="{FC97E8EE-EDCE-77B1-7D4B-77FBC17D7815}"/>
            </a:ext>
          </a:extLst>
        </xdr:cNvPr>
        <xdr:cNvSpPr/>
      </xdr:nvSpPr>
      <xdr:spPr>
        <a:xfrm>
          <a:off x="9973008374" y="142875"/>
          <a:ext cx="14582775" cy="61912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GB" sz="1100"/>
        </a:p>
      </xdr:txBody>
    </xdr:sp>
    <xdr:clientData/>
  </xdr:twoCellAnchor>
  <xdr:twoCellAnchor>
    <xdr:from>
      <xdr:col>24</xdr:col>
      <xdr:colOff>266700</xdr:colOff>
      <xdr:row>0</xdr:row>
      <xdr:rowOff>161925</xdr:rowOff>
    </xdr:from>
    <xdr:to>
      <xdr:col>28</xdr:col>
      <xdr:colOff>552450</xdr:colOff>
      <xdr:row>36</xdr:row>
      <xdr:rowOff>114300</xdr:rowOff>
    </xdr:to>
    <xdr:sp macro="" textlink="">
      <xdr:nvSpPr>
        <xdr:cNvPr id="4" name="Rectangle: Rounded Corners 3">
          <a:extLst>
            <a:ext uri="{FF2B5EF4-FFF2-40B4-BE49-F238E27FC236}">
              <a16:creationId xmlns:a16="http://schemas.microsoft.com/office/drawing/2014/main" id="{0FAD46E9-AA78-46EF-B5A4-74BA71E480F8}"/>
            </a:ext>
          </a:extLst>
        </xdr:cNvPr>
        <xdr:cNvSpPr/>
      </xdr:nvSpPr>
      <xdr:spPr>
        <a:xfrm>
          <a:off x="9970065150" y="161925"/>
          <a:ext cx="2724150" cy="681037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rtl="1"/>
          <a:endParaRPr lang="en-GB" sz="1100">
            <a:solidFill>
              <a:schemeClr val="lt1"/>
            </a:solidFill>
            <a:latin typeface="+mn-lt"/>
            <a:ea typeface="+mn-ea"/>
            <a:cs typeface="+mn-cs"/>
          </a:endParaRPr>
        </a:p>
      </xdr:txBody>
    </xdr:sp>
    <xdr:clientData/>
  </xdr:twoCellAnchor>
  <xdr:twoCellAnchor>
    <xdr:from>
      <xdr:col>19</xdr:col>
      <xdr:colOff>409575</xdr:colOff>
      <xdr:row>5</xdr:row>
      <xdr:rowOff>57150</xdr:rowOff>
    </xdr:from>
    <xdr:to>
      <xdr:col>23</xdr:col>
      <xdr:colOff>581025</xdr:colOff>
      <xdr:row>10</xdr:row>
      <xdr:rowOff>28575</xdr:rowOff>
    </xdr:to>
    <xdr:sp macro="" textlink="">
      <xdr:nvSpPr>
        <xdr:cNvPr id="5" name="Rectangle: Rounded Corners 4">
          <a:extLst>
            <a:ext uri="{FF2B5EF4-FFF2-40B4-BE49-F238E27FC236}">
              <a16:creationId xmlns:a16="http://schemas.microsoft.com/office/drawing/2014/main" id="{781F1AC5-82F7-A18D-6D1A-7020E3E11BA4}"/>
            </a:ext>
          </a:extLst>
        </xdr:cNvPr>
        <xdr:cNvSpPr/>
      </xdr:nvSpPr>
      <xdr:spPr>
        <a:xfrm>
          <a:off x="9973084575" y="1009650"/>
          <a:ext cx="2609850" cy="92392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rtl="1"/>
          <a:endParaRPr lang="en-GB" sz="1100">
            <a:solidFill>
              <a:schemeClr val="lt1"/>
            </a:solidFill>
            <a:latin typeface="+mn-lt"/>
            <a:ea typeface="+mn-ea"/>
            <a:cs typeface="+mn-cs"/>
          </a:endParaRPr>
        </a:p>
      </xdr:txBody>
    </xdr:sp>
    <xdr:clientData/>
  </xdr:twoCellAnchor>
  <xdr:twoCellAnchor>
    <xdr:from>
      <xdr:col>10</xdr:col>
      <xdr:colOff>114301</xdr:colOff>
      <xdr:row>5</xdr:row>
      <xdr:rowOff>19050</xdr:rowOff>
    </xdr:from>
    <xdr:to>
      <xdr:col>14</xdr:col>
      <xdr:colOff>285751</xdr:colOff>
      <xdr:row>9</xdr:row>
      <xdr:rowOff>180975</xdr:rowOff>
    </xdr:to>
    <xdr:sp macro="" textlink="">
      <xdr:nvSpPr>
        <xdr:cNvPr id="6" name="Rectangle: Rounded Corners 5">
          <a:extLst>
            <a:ext uri="{FF2B5EF4-FFF2-40B4-BE49-F238E27FC236}">
              <a16:creationId xmlns:a16="http://schemas.microsoft.com/office/drawing/2014/main" id="{2CB7C184-4D74-4CB5-8C7A-FE6E064314F7}"/>
            </a:ext>
          </a:extLst>
        </xdr:cNvPr>
        <xdr:cNvSpPr/>
      </xdr:nvSpPr>
      <xdr:spPr>
        <a:xfrm>
          <a:off x="9978866249" y="971550"/>
          <a:ext cx="2609850" cy="92392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rtl="1"/>
          <a:endParaRPr lang="en-GB" sz="1100">
            <a:solidFill>
              <a:schemeClr val="lt1"/>
            </a:solidFill>
            <a:latin typeface="+mn-lt"/>
            <a:ea typeface="+mn-ea"/>
            <a:cs typeface="+mn-cs"/>
          </a:endParaRPr>
        </a:p>
      </xdr:txBody>
    </xdr:sp>
    <xdr:clientData/>
  </xdr:twoCellAnchor>
  <xdr:twoCellAnchor>
    <xdr:from>
      <xdr:col>14</xdr:col>
      <xdr:colOff>547688</xdr:colOff>
      <xdr:row>5</xdr:row>
      <xdr:rowOff>57150</xdr:rowOff>
    </xdr:from>
    <xdr:to>
      <xdr:col>19</xdr:col>
      <xdr:colOff>109538</xdr:colOff>
      <xdr:row>10</xdr:row>
      <xdr:rowOff>28575</xdr:rowOff>
    </xdr:to>
    <xdr:sp macro="" textlink="">
      <xdr:nvSpPr>
        <xdr:cNvPr id="7" name="Rectangle: Rounded Corners 6">
          <a:extLst>
            <a:ext uri="{FF2B5EF4-FFF2-40B4-BE49-F238E27FC236}">
              <a16:creationId xmlns:a16="http://schemas.microsoft.com/office/drawing/2014/main" id="{932B937B-A61F-40C3-AE9E-6C7409D2A5D0}"/>
            </a:ext>
          </a:extLst>
        </xdr:cNvPr>
        <xdr:cNvSpPr/>
      </xdr:nvSpPr>
      <xdr:spPr>
        <a:xfrm>
          <a:off x="9975994462" y="1009650"/>
          <a:ext cx="2609850" cy="92392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rtl="1"/>
          <a:endParaRPr lang="en-GB" sz="1100">
            <a:solidFill>
              <a:schemeClr val="lt1"/>
            </a:solidFill>
            <a:latin typeface="+mn-lt"/>
            <a:ea typeface="+mn-ea"/>
            <a:cs typeface="+mn-cs"/>
          </a:endParaRPr>
        </a:p>
      </xdr:txBody>
    </xdr:sp>
    <xdr:clientData/>
  </xdr:twoCellAnchor>
  <xdr:twoCellAnchor>
    <xdr:from>
      <xdr:col>5</xdr:col>
      <xdr:colOff>271464</xdr:colOff>
      <xdr:row>5</xdr:row>
      <xdr:rowOff>0</xdr:rowOff>
    </xdr:from>
    <xdr:to>
      <xdr:col>9</xdr:col>
      <xdr:colOff>442914</xdr:colOff>
      <xdr:row>9</xdr:row>
      <xdr:rowOff>161925</xdr:rowOff>
    </xdr:to>
    <xdr:sp macro="" textlink="">
      <xdr:nvSpPr>
        <xdr:cNvPr id="8" name="Rectangle: Rounded Corners 7">
          <a:extLst>
            <a:ext uri="{FF2B5EF4-FFF2-40B4-BE49-F238E27FC236}">
              <a16:creationId xmlns:a16="http://schemas.microsoft.com/office/drawing/2014/main" id="{7969A237-F755-4E71-9EFE-FBD2AC8279BF}"/>
            </a:ext>
          </a:extLst>
        </xdr:cNvPr>
        <xdr:cNvSpPr/>
      </xdr:nvSpPr>
      <xdr:spPr>
        <a:xfrm>
          <a:off x="9981757086" y="952500"/>
          <a:ext cx="2609850" cy="92392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rtl="1"/>
          <a:endParaRPr lang="en-GB" sz="1100">
            <a:solidFill>
              <a:schemeClr val="lt1"/>
            </a:solidFill>
            <a:latin typeface="+mn-lt"/>
            <a:ea typeface="+mn-ea"/>
            <a:cs typeface="+mn-cs"/>
          </a:endParaRPr>
        </a:p>
      </xdr:txBody>
    </xdr:sp>
    <xdr:clientData/>
  </xdr:twoCellAnchor>
  <xdr:twoCellAnchor>
    <xdr:from>
      <xdr:col>0</xdr:col>
      <xdr:colOff>104775</xdr:colOff>
      <xdr:row>5</xdr:row>
      <xdr:rowOff>19050</xdr:rowOff>
    </xdr:from>
    <xdr:to>
      <xdr:col>5</xdr:col>
      <xdr:colOff>95250</xdr:colOff>
      <xdr:row>9</xdr:row>
      <xdr:rowOff>180975</xdr:rowOff>
    </xdr:to>
    <xdr:sp macro="" textlink="">
      <xdr:nvSpPr>
        <xdr:cNvPr id="9" name="Rectangle: Rounded Corners 8">
          <a:extLst>
            <a:ext uri="{FF2B5EF4-FFF2-40B4-BE49-F238E27FC236}">
              <a16:creationId xmlns:a16="http://schemas.microsoft.com/office/drawing/2014/main" id="{4490749E-4414-4A86-A56D-E10E724FB676}"/>
            </a:ext>
          </a:extLst>
        </xdr:cNvPr>
        <xdr:cNvSpPr/>
      </xdr:nvSpPr>
      <xdr:spPr>
        <a:xfrm>
          <a:off x="9984543150" y="971550"/>
          <a:ext cx="3038475" cy="92392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rtl="1"/>
          <a:endParaRPr lang="en-GB" sz="1100">
            <a:solidFill>
              <a:schemeClr val="lt1"/>
            </a:solidFill>
            <a:latin typeface="+mn-lt"/>
            <a:ea typeface="+mn-ea"/>
            <a:cs typeface="+mn-cs"/>
          </a:endParaRPr>
        </a:p>
      </xdr:txBody>
    </xdr:sp>
    <xdr:clientData/>
  </xdr:twoCellAnchor>
  <xdr:twoCellAnchor>
    <xdr:from>
      <xdr:col>21</xdr:col>
      <xdr:colOff>104775</xdr:colOff>
      <xdr:row>5</xdr:row>
      <xdr:rowOff>161925</xdr:rowOff>
    </xdr:from>
    <xdr:to>
      <xdr:col>23</xdr:col>
      <xdr:colOff>295275</xdr:colOff>
      <xdr:row>7</xdr:row>
      <xdr:rowOff>95250</xdr:rowOff>
    </xdr:to>
    <xdr:sp macro="" textlink="">
      <xdr:nvSpPr>
        <xdr:cNvPr id="12" name="TextBox 11">
          <a:extLst>
            <a:ext uri="{FF2B5EF4-FFF2-40B4-BE49-F238E27FC236}">
              <a16:creationId xmlns:a16="http://schemas.microsoft.com/office/drawing/2014/main" id="{57F42E53-E221-9941-2C18-AE5BB3DDF0DC}"/>
            </a:ext>
          </a:extLst>
        </xdr:cNvPr>
        <xdr:cNvSpPr txBox="1"/>
      </xdr:nvSpPr>
      <xdr:spPr>
        <a:xfrm>
          <a:off x="9973370325" y="1114425"/>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GB" sz="2000">
              <a:solidFill>
                <a:srgbClr val="F21D2F"/>
              </a:solidFill>
            </a:rPr>
            <a:t>Total </a:t>
          </a:r>
          <a:r>
            <a:rPr lang="en-GB" sz="1600">
              <a:solidFill>
                <a:srgbClr val="F21D2F"/>
              </a:solidFill>
              <a:latin typeface="+mn-lt"/>
              <a:ea typeface="+mn-ea"/>
              <a:cs typeface="+mn-cs"/>
            </a:rPr>
            <a:t>Sales</a:t>
          </a:r>
        </a:p>
        <a:p>
          <a:pPr algn="ctr" rtl="1"/>
          <a:endParaRPr lang="en-GB" sz="2000"/>
        </a:p>
        <a:p>
          <a:pPr algn="r" rtl="1"/>
          <a:endParaRPr lang="en-GB" sz="2000"/>
        </a:p>
      </xdr:txBody>
    </xdr:sp>
    <xdr:clientData/>
  </xdr:twoCellAnchor>
  <xdr:twoCellAnchor>
    <xdr:from>
      <xdr:col>16</xdr:col>
      <xdr:colOff>276225</xdr:colOff>
      <xdr:row>5</xdr:row>
      <xdr:rowOff>152400</xdr:rowOff>
    </xdr:from>
    <xdr:to>
      <xdr:col>18</xdr:col>
      <xdr:colOff>342900</xdr:colOff>
      <xdr:row>7</xdr:row>
      <xdr:rowOff>123825</xdr:rowOff>
    </xdr:to>
    <xdr:sp macro="" textlink="">
      <xdr:nvSpPr>
        <xdr:cNvPr id="18" name="TextBox 17">
          <a:extLst>
            <a:ext uri="{FF2B5EF4-FFF2-40B4-BE49-F238E27FC236}">
              <a16:creationId xmlns:a16="http://schemas.microsoft.com/office/drawing/2014/main" id="{1CF639A6-5334-9935-CBFA-DB664E27281F}"/>
            </a:ext>
          </a:extLst>
        </xdr:cNvPr>
        <xdr:cNvSpPr txBox="1"/>
      </xdr:nvSpPr>
      <xdr:spPr>
        <a:xfrm>
          <a:off x="9976370700" y="1104900"/>
          <a:ext cx="12858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GB" sz="1600">
              <a:solidFill>
                <a:srgbClr val="F21D2F"/>
              </a:solidFill>
            </a:rPr>
            <a:t>Total</a:t>
          </a:r>
          <a:r>
            <a:rPr lang="en-GB" sz="1600" baseline="0">
              <a:solidFill>
                <a:srgbClr val="F21D2F"/>
              </a:solidFill>
            </a:rPr>
            <a:t> </a:t>
          </a:r>
          <a:r>
            <a:rPr lang="en-GB" sz="1600" baseline="0">
              <a:ln>
                <a:noFill/>
              </a:ln>
              <a:solidFill>
                <a:srgbClr val="F21D2F"/>
              </a:solidFill>
            </a:rPr>
            <a:t>Orders</a:t>
          </a:r>
        </a:p>
        <a:p>
          <a:pPr algn="r" rtl="1"/>
          <a:endParaRPr lang="en-GB" sz="1100"/>
        </a:p>
      </xdr:txBody>
    </xdr:sp>
    <xdr:clientData/>
  </xdr:twoCellAnchor>
  <xdr:twoCellAnchor>
    <xdr:from>
      <xdr:col>10</xdr:col>
      <xdr:colOff>581025</xdr:colOff>
      <xdr:row>5</xdr:row>
      <xdr:rowOff>76201</xdr:rowOff>
    </xdr:from>
    <xdr:to>
      <xdr:col>13</xdr:col>
      <xdr:colOff>161925</xdr:colOff>
      <xdr:row>7</xdr:row>
      <xdr:rowOff>76201</xdr:rowOff>
    </xdr:to>
    <xdr:sp macro="" textlink="">
      <xdr:nvSpPr>
        <xdr:cNvPr id="19" name="TextBox 18">
          <a:extLst>
            <a:ext uri="{FF2B5EF4-FFF2-40B4-BE49-F238E27FC236}">
              <a16:creationId xmlns:a16="http://schemas.microsoft.com/office/drawing/2014/main" id="{6536076A-E514-DA7B-1550-9F61F4D1A21E}"/>
            </a:ext>
          </a:extLst>
        </xdr:cNvPr>
        <xdr:cNvSpPr txBox="1"/>
      </xdr:nvSpPr>
      <xdr:spPr>
        <a:xfrm>
          <a:off x="9979599675" y="1028701"/>
          <a:ext cx="1409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en-GB" sz="1400">
              <a:solidFill>
                <a:srgbClr val="F21D2F"/>
              </a:solidFill>
            </a:rPr>
            <a:t>Ave-Selling</a:t>
          </a:r>
          <a:r>
            <a:rPr lang="en-GB" sz="1400" baseline="0">
              <a:solidFill>
                <a:srgbClr val="F21D2F"/>
              </a:solidFill>
            </a:rPr>
            <a:t> Price</a:t>
          </a:r>
          <a:endParaRPr lang="en-GB" sz="1400">
            <a:solidFill>
              <a:srgbClr val="F21D2F"/>
            </a:solidFill>
          </a:endParaRPr>
        </a:p>
      </xdr:txBody>
    </xdr:sp>
    <xdr:clientData/>
  </xdr:twoCellAnchor>
  <xdr:twoCellAnchor>
    <xdr:from>
      <xdr:col>5</xdr:col>
      <xdr:colOff>476250</xdr:colOff>
      <xdr:row>5</xdr:row>
      <xdr:rowOff>66675</xdr:rowOff>
    </xdr:from>
    <xdr:to>
      <xdr:col>8</xdr:col>
      <xdr:colOff>542925</xdr:colOff>
      <xdr:row>7</xdr:row>
      <xdr:rowOff>28575</xdr:rowOff>
    </xdr:to>
    <xdr:sp macro="" textlink="">
      <xdr:nvSpPr>
        <xdr:cNvPr id="20" name="TextBox 19">
          <a:extLst>
            <a:ext uri="{FF2B5EF4-FFF2-40B4-BE49-F238E27FC236}">
              <a16:creationId xmlns:a16="http://schemas.microsoft.com/office/drawing/2014/main" id="{6F7FBF75-89D7-7DDB-F21F-6136DDE6D84F}"/>
            </a:ext>
          </a:extLst>
        </xdr:cNvPr>
        <xdr:cNvSpPr txBox="1"/>
      </xdr:nvSpPr>
      <xdr:spPr>
        <a:xfrm>
          <a:off x="9982266675" y="1019175"/>
          <a:ext cx="18954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GB" sz="1400">
              <a:solidFill>
                <a:srgbClr val="F21D2F"/>
              </a:solidFill>
            </a:rPr>
            <a:t>On Time Delivery Rate </a:t>
          </a:r>
        </a:p>
      </xdr:txBody>
    </xdr:sp>
    <xdr:clientData/>
  </xdr:twoCellAnchor>
  <xdr:twoCellAnchor>
    <xdr:from>
      <xdr:col>7</xdr:col>
      <xdr:colOff>571500</xdr:colOff>
      <xdr:row>11</xdr:row>
      <xdr:rowOff>19050</xdr:rowOff>
    </xdr:from>
    <xdr:to>
      <xdr:col>14</xdr:col>
      <xdr:colOff>285751</xdr:colOff>
      <xdr:row>22</xdr:row>
      <xdr:rowOff>85725</xdr:rowOff>
    </xdr:to>
    <xdr:graphicFrame macro="">
      <xdr:nvGraphicFramePr>
        <xdr:cNvPr id="22" name="Chart 21">
          <a:extLst>
            <a:ext uri="{FF2B5EF4-FFF2-40B4-BE49-F238E27FC236}">
              <a16:creationId xmlns:a16="http://schemas.microsoft.com/office/drawing/2014/main" id="{9B5E62AC-E800-4C5D-B458-78DD43B8A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142875</xdr:colOff>
      <xdr:row>5</xdr:row>
      <xdr:rowOff>38101</xdr:rowOff>
    </xdr:from>
    <xdr:to>
      <xdr:col>4</xdr:col>
      <xdr:colOff>447675</xdr:colOff>
      <xdr:row>7</xdr:row>
      <xdr:rowOff>1</xdr:rowOff>
    </xdr:to>
    <xdr:sp macro="" textlink="">
      <xdr:nvSpPr>
        <xdr:cNvPr id="23" name="TextBox 22">
          <a:extLst>
            <a:ext uri="{FF2B5EF4-FFF2-40B4-BE49-F238E27FC236}">
              <a16:creationId xmlns:a16="http://schemas.microsoft.com/office/drawing/2014/main" id="{A15EA0E3-9673-C256-6750-CA2176327AB4}"/>
            </a:ext>
          </a:extLst>
        </xdr:cNvPr>
        <xdr:cNvSpPr txBox="1"/>
      </xdr:nvSpPr>
      <xdr:spPr>
        <a:xfrm>
          <a:off x="9984800325" y="990601"/>
          <a:ext cx="2743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en-GB" sz="1400">
              <a:solidFill>
                <a:srgbClr val="F21D2F"/>
              </a:solidFill>
            </a:rPr>
            <a:t>Delivery</a:t>
          </a:r>
          <a:r>
            <a:rPr lang="en-GB" sz="1400" baseline="0">
              <a:solidFill>
                <a:srgbClr val="F21D2F"/>
              </a:solidFill>
            </a:rPr>
            <a:t> Rate Status Breakdown</a:t>
          </a:r>
          <a:endParaRPr lang="en-GB" sz="1100">
            <a:solidFill>
              <a:srgbClr val="F21D2F"/>
            </a:solidFill>
          </a:endParaRPr>
        </a:p>
      </xdr:txBody>
    </xdr:sp>
    <xdr:clientData/>
  </xdr:twoCellAnchor>
  <xdr:twoCellAnchor>
    <xdr:from>
      <xdr:col>7</xdr:col>
      <xdr:colOff>552450</xdr:colOff>
      <xdr:row>22</xdr:row>
      <xdr:rowOff>123825</xdr:rowOff>
    </xdr:from>
    <xdr:to>
      <xdr:col>14</xdr:col>
      <xdr:colOff>285750</xdr:colOff>
      <xdr:row>36</xdr:row>
      <xdr:rowOff>76200</xdr:rowOff>
    </xdr:to>
    <xdr:graphicFrame macro="">
      <xdr:nvGraphicFramePr>
        <xdr:cNvPr id="24" name="Chart 23">
          <a:extLst>
            <a:ext uri="{FF2B5EF4-FFF2-40B4-BE49-F238E27FC236}">
              <a16:creationId xmlns:a16="http://schemas.microsoft.com/office/drawing/2014/main" id="{0B6DE14F-FB89-445D-B4D3-1561D2219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457200</xdr:colOff>
      <xdr:row>10</xdr:row>
      <xdr:rowOff>161925</xdr:rowOff>
    </xdr:from>
    <xdr:to>
      <xdr:col>23</xdr:col>
      <xdr:colOff>590550</xdr:colOff>
      <xdr:row>36</xdr:row>
      <xdr:rowOff>104775</xdr:rowOff>
    </xdr:to>
    <xdr:graphicFrame macro="">
      <xdr:nvGraphicFramePr>
        <xdr:cNvPr id="2" name="Chart 1">
          <a:extLst>
            <a:ext uri="{FF2B5EF4-FFF2-40B4-BE49-F238E27FC236}">
              <a16:creationId xmlns:a16="http://schemas.microsoft.com/office/drawing/2014/main" id="{34796597-9F6D-4A0F-83B2-227EC80B4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180975</xdr:colOff>
      <xdr:row>7</xdr:row>
      <xdr:rowOff>142875</xdr:rowOff>
    </xdr:from>
    <xdr:to>
      <xdr:col>23</xdr:col>
      <xdr:colOff>200025</xdr:colOff>
      <xdr:row>9</xdr:row>
      <xdr:rowOff>66675</xdr:rowOff>
    </xdr:to>
    <xdr:sp macro="" textlink="'pivot _t'!B34">
      <xdr:nvSpPr>
        <xdr:cNvPr id="10" name="TextBox 9">
          <a:extLst>
            <a:ext uri="{FF2B5EF4-FFF2-40B4-BE49-F238E27FC236}">
              <a16:creationId xmlns:a16="http://schemas.microsoft.com/office/drawing/2014/main" id="{26BFC8EB-303E-3C77-9F5D-981809004F2D}"/>
            </a:ext>
          </a:extLst>
        </xdr:cNvPr>
        <xdr:cNvSpPr txBox="1"/>
      </xdr:nvSpPr>
      <xdr:spPr>
        <a:xfrm>
          <a:off x="9973465575" y="1476375"/>
          <a:ext cx="1238250" cy="30480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DE3282E2-3D3B-4B5C-9142-1AFBCE0EC662}" type="TxLink">
            <a:rPr lang="en-US" sz="1600" b="0" i="0" u="none" strike="noStrike">
              <a:solidFill>
                <a:schemeClr val="bg1"/>
              </a:solidFill>
              <a:latin typeface="Calibri"/>
              <a:cs typeface="Calibri"/>
            </a:rPr>
            <a:pPr algn="ctr" rtl="1"/>
            <a:t> 1,282,886 </a:t>
          </a:fld>
          <a:endParaRPr lang="en-GB" sz="1600">
            <a:solidFill>
              <a:schemeClr val="bg1"/>
            </a:solidFill>
          </a:endParaRPr>
        </a:p>
      </xdr:txBody>
    </xdr:sp>
    <xdr:clientData/>
  </xdr:twoCellAnchor>
  <xdr:twoCellAnchor>
    <xdr:from>
      <xdr:col>16</xdr:col>
      <xdr:colOff>400050</xdr:colOff>
      <xdr:row>7</xdr:row>
      <xdr:rowOff>76201</xdr:rowOff>
    </xdr:from>
    <xdr:to>
      <xdr:col>18</xdr:col>
      <xdr:colOff>409575</xdr:colOff>
      <xdr:row>9</xdr:row>
      <xdr:rowOff>57151</xdr:rowOff>
    </xdr:to>
    <xdr:sp macro="" textlink="'pivot _t'!G19">
      <xdr:nvSpPr>
        <xdr:cNvPr id="11" name="TextBox 10">
          <a:extLst>
            <a:ext uri="{FF2B5EF4-FFF2-40B4-BE49-F238E27FC236}">
              <a16:creationId xmlns:a16="http://schemas.microsoft.com/office/drawing/2014/main" id="{D255FFB0-85C6-7888-27F1-172D0CDD1769}"/>
            </a:ext>
          </a:extLst>
        </xdr:cNvPr>
        <xdr:cNvSpPr txBox="1"/>
      </xdr:nvSpPr>
      <xdr:spPr>
        <a:xfrm>
          <a:off x="9976304025" y="1409701"/>
          <a:ext cx="12287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E35687EA-E33A-493A-A4D7-E994DDE7D9F7}" type="TxLink">
            <a:rPr lang="en-US" sz="1600" b="0" i="0" u="none" strike="noStrike">
              <a:solidFill>
                <a:schemeClr val="bg1"/>
              </a:solidFill>
              <a:latin typeface="Calibri"/>
              <a:cs typeface="Calibri"/>
            </a:rPr>
            <a:pPr algn="ctr" rtl="1"/>
            <a:t>125</a:t>
          </a:fld>
          <a:endParaRPr lang="en-GB" sz="1600">
            <a:solidFill>
              <a:schemeClr val="bg1"/>
            </a:solidFill>
          </a:endParaRPr>
        </a:p>
      </xdr:txBody>
    </xdr:sp>
    <xdr:clientData/>
  </xdr:twoCellAnchor>
  <xdr:twoCellAnchor>
    <xdr:from>
      <xdr:col>11</xdr:col>
      <xdr:colOff>180975</xdr:colOff>
      <xdr:row>8</xdr:row>
      <xdr:rowOff>9525</xdr:rowOff>
    </xdr:from>
    <xdr:to>
      <xdr:col>13</xdr:col>
      <xdr:colOff>276225</xdr:colOff>
      <xdr:row>9</xdr:row>
      <xdr:rowOff>47625</xdr:rowOff>
    </xdr:to>
    <xdr:sp macro="" textlink="'pivot _t'!J17">
      <xdr:nvSpPr>
        <xdr:cNvPr id="13" name="TextBox 12">
          <a:extLst>
            <a:ext uri="{FF2B5EF4-FFF2-40B4-BE49-F238E27FC236}">
              <a16:creationId xmlns:a16="http://schemas.microsoft.com/office/drawing/2014/main" id="{9D994496-E07C-C631-FAB7-14BB72A03F73}"/>
            </a:ext>
          </a:extLst>
        </xdr:cNvPr>
        <xdr:cNvSpPr txBox="1"/>
      </xdr:nvSpPr>
      <xdr:spPr>
        <a:xfrm>
          <a:off x="9979485375" y="1533525"/>
          <a:ext cx="13144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924838BA-3A89-4B73-AF9F-2E38B80F45D5}" type="TxLink">
            <a:rPr lang="en-US" sz="1800" b="0" i="0" u="none" strike="noStrike">
              <a:solidFill>
                <a:schemeClr val="bg1"/>
              </a:solidFill>
              <a:latin typeface="Calibri"/>
              <a:cs typeface="Calibri"/>
            </a:rPr>
            <a:pPr algn="ctr" rtl="1"/>
            <a:t> 10,263 </a:t>
          </a:fld>
          <a:endParaRPr lang="en-GB" sz="1800">
            <a:solidFill>
              <a:schemeClr val="bg1"/>
            </a:solidFill>
          </a:endParaRPr>
        </a:p>
      </xdr:txBody>
    </xdr:sp>
    <xdr:clientData/>
  </xdr:twoCellAnchor>
  <xdr:twoCellAnchor>
    <xdr:from>
      <xdr:col>6</xdr:col>
      <xdr:colOff>133350</xdr:colOff>
      <xdr:row>7</xdr:row>
      <xdr:rowOff>104775</xdr:rowOff>
    </xdr:from>
    <xdr:to>
      <xdr:col>8</xdr:col>
      <xdr:colOff>561975</xdr:colOff>
      <xdr:row>9</xdr:row>
      <xdr:rowOff>9525</xdr:rowOff>
    </xdr:to>
    <xdr:sp macro="" textlink="'pivot _t'!AM15">
      <xdr:nvSpPr>
        <xdr:cNvPr id="14" name="TextBox 13">
          <a:extLst>
            <a:ext uri="{FF2B5EF4-FFF2-40B4-BE49-F238E27FC236}">
              <a16:creationId xmlns:a16="http://schemas.microsoft.com/office/drawing/2014/main" id="{A35DC1D2-3B59-A2E7-1CBA-FC564C721E44}"/>
            </a:ext>
          </a:extLst>
        </xdr:cNvPr>
        <xdr:cNvSpPr txBox="1"/>
      </xdr:nvSpPr>
      <xdr:spPr>
        <a:xfrm>
          <a:off x="9982247625" y="1438275"/>
          <a:ext cx="1647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228CBDE7-DBB6-484E-84B9-311A5FFD16EC}" type="TxLink">
            <a:rPr lang="en-US" sz="1600" b="0" i="0" u="none" strike="noStrike">
              <a:solidFill>
                <a:schemeClr val="bg1"/>
              </a:solidFill>
              <a:latin typeface="Calibri"/>
              <a:cs typeface="Calibri"/>
            </a:rPr>
            <a:pPr algn="ctr" rtl="1"/>
            <a:t>69%</a:t>
          </a:fld>
          <a:endParaRPr lang="en-GB" sz="1600">
            <a:solidFill>
              <a:schemeClr val="bg1"/>
            </a:solidFill>
          </a:endParaRPr>
        </a:p>
      </xdr:txBody>
    </xdr:sp>
    <xdr:clientData/>
  </xdr:twoCellAnchor>
  <xdr:oneCellAnchor>
    <xdr:from>
      <xdr:col>0</xdr:col>
      <xdr:colOff>552450</xdr:colOff>
      <xdr:row>16</xdr:row>
      <xdr:rowOff>180975</xdr:rowOff>
    </xdr:from>
    <xdr:ext cx="184730" cy="264560"/>
    <xdr:sp macro="" textlink="">
      <xdr:nvSpPr>
        <xdr:cNvPr id="15" name="TextBox 14">
          <a:extLst>
            <a:ext uri="{FF2B5EF4-FFF2-40B4-BE49-F238E27FC236}">
              <a16:creationId xmlns:a16="http://schemas.microsoft.com/office/drawing/2014/main" id="{C1C50468-5A0A-54F2-212B-AC949BF2FAFF}"/>
            </a:ext>
          </a:extLst>
        </xdr:cNvPr>
        <xdr:cNvSpPr txBox="1"/>
      </xdr:nvSpPr>
      <xdr:spPr>
        <a:xfrm>
          <a:off x="9986949220" y="3228975"/>
          <a:ext cx="1847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rtl="1"/>
          <a:endParaRPr lang="en-GB" sz="1100"/>
        </a:p>
      </xdr:txBody>
    </xdr:sp>
    <xdr:clientData/>
  </xdr:oneCellAnchor>
  <xdr:twoCellAnchor>
    <xdr:from>
      <xdr:col>0</xdr:col>
      <xdr:colOff>552450</xdr:colOff>
      <xdr:row>7</xdr:row>
      <xdr:rowOff>76200</xdr:rowOff>
    </xdr:from>
    <xdr:to>
      <xdr:col>4</xdr:col>
      <xdr:colOff>85725</xdr:colOff>
      <xdr:row>9</xdr:row>
      <xdr:rowOff>28575</xdr:rowOff>
    </xdr:to>
    <xdr:sp macro="" textlink="'pivot _t'!AB12">
      <xdr:nvSpPr>
        <xdr:cNvPr id="16" name="TextBox 15">
          <a:extLst>
            <a:ext uri="{FF2B5EF4-FFF2-40B4-BE49-F238E27FC236}">
              <a16:creationId xmlns:a16="http://schemas.microsoft.com/office/drawing/2014/main" id="{C1C228A9-AEBE-93C1-38A0-2824000BF597}"/>
            </a:ext>
          </a:extLst>
        </xdr:cNvPr>
        <xdr:cNvSpPr txBox="1"/>
      </xdr:nvSpPr>
      <xdr:spPr>
        <a:xfrm>
          <a:off x="9985162275" y="1409700"/>
          <a:ext cx="19716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BD04827B-20C3-419D-958F-D73D6BE8ABA4}" type="TxLink">
            <a:rPr lang="en-US" sz="1800" b="0" i="0" u="none" strike="noStrike">
              <a:solidFill>
                <a:schemeClr val="bg1"/>
              </a:solidFill>
              <a:latin typeface="Calibri"/>
              <a:cs typeface="Calibri"/>
            </a:rPr>
            <a:pPr algn="ctr" rtl="1"/>
            <a:t>16%</a:t>
          </a:fld>
          <a:endParaRPr lang="en-GB" sz="1800">
            <a:solidFill>
              <a:schemeClr val="bg1"/>
            </a:solidFill>
          </a:endParaRPr>
        </a:p>
      </xdr:txBody>
    </xdr:sp>
    <xdr:clientData/>
  </xdr:twoCellAnchor>
  <xdr:twoCellAnchor>
    <xdr:from>
      <xdr:col>8</xdr:col>
      <xdr:colOff>190500</xdr:colOff>
      <xdr:row>1</xdr:row>
      <xdr:rowOff>152400</xdr:rowOff>
    </xdr:from>
    <xdr:to>
      <xdr:col>17</xdr:col>
      <xdr:colOff>419100</xdr:colOff>
      <xdr:row>3</xdr:row>
      <xdr:rowOff>57150</xdr:rowOff>
    </xdr:to>
    <xdr:sp macro="" textlink="">
      <xdr:nvSpPr>
        <xdr:cNvPr id="17" name="TextBox 16">
          <a:extLst>
            <a:ext uri="{FF2B5EF4-FFF2-40B4-BE49-F238E27FC236}">
              <a16:creationId xmlns:a16="http://schemas.microsoft.com/office/drawing/2014/main" id="{F5508CFC-A530-7469-1017-8B5AF3F7399C}"/>
            </a:ext>
          </a:extLst>
        </xdr:cNvPr>
        <xdr:cNvSpPr txBox="1"/>
      </xdr:nvSpPr>
      <xdr:spPr>
        <a:xfrm>
          <a:off x="9976904100" y="342900"/>
          <a:ext cx="5715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GB" sz="2800">
              <a:solidFill>
                <a:schemeClr val="bg1"/>
              </a:solidFill>
            </a:rPr>
            <a:t>Sales</a:t>
          </a:r>
          <a:r>
            <a:rPr lang="en-GB" sz="2800" baseline="0">
              <a:solidFill>
                <a:schemeClr val="bg1"/>
              </a:solidFill>
            </a:rPr>
            <a:t> Dash board</a:t>
          </a:r>
          <a:endParaRPr lang="en-GB" sz="2800">
            <a:solidFill>
              <a:schemeClr val="bg1"/>
            </a:solidFill>
          </a:endParaRPr>
        </a:p>
      </xdr:txBody>
    </xdr:sp>
    <xdr:clientData/>
  </xdr:twoCellAnchor>
  <xdr:twoCellAnchor>
    <xdr:from>
      <xdr:col>0</xdr:col>
      <xdr:colOff>47624</xdr:colOff>
      <xdr:row>11</xdr:row>
      <xdr:rowOff>0</xdr:rowOff>
    </xdr:from>
    <xdr:to>
      <xdr:col>7</xdr:col>
      <xdr:colOff>466724</xdr:colOff>
      <xdr:row>22</xdr:row>
      <xdr:rowOff>104776</xdr:rowOff>
    </xdr:to>
    <xdr:graphicFrame macro="">
      <xdr:nvGraphicFramePr>
        <xdr:cNvPr id="25" name="Chart 24">
          <a:extLst>
            <a:ext uri="{FF2B5EF4-FFF2-40B4-BE49-F238E27FC236}">
              <a16:creationId xmlns:a16="http://schemas.microsoft.com/office/drawing/2014/main" id="{175C98DD-1BD5-41FD-ACCF-E6C42B5DC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22</xdr:row>
      <xdr:rowOff>180976</xdr:rowOff>
    </xdr:from>
    <xdr:to>
      <xdr:col>7</xdr:col>
      <xdr:colOff>466725</xdr:colOff>
      <xdr:row>36</xdr:row>
      <xdr:rowOff>66676</xdr:rowOff>
    </xdr:to>
    <xdr:graphicFrame macro="">
      <xdr:nvGraphicFramePr>
        <xdr:cNvPr id="26" name="Chart 25">
          <a:extLst>
            <a:ext uri="{FF2B5EF4-FFF2-40B4-BE49-F238E27FC236}">
              <a16:creationId xmlns:a16="http://schemas.microsoft.com/office/drawing/2014/main" id="{D35CDCFA-1673-4313-B7E3-8D56F5591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381000</xdr:colOff>
      <xdr:row>21</xdr:row>
      <xdr:rowOff>76201</xdr:rowOff>
    </xdr:from>
    <xdr:to>
      <xdr:col>28</xdr:col>
      <xdr:colOff>419100</xdr:colOff>
      <xdr:row>27</xdr:row>
      <xdr:rowOff>95251</xdr:rowOff>
    </xdr:to>
    <mc:AlternateContent xmlns:mc="http://schemas.openxmlformats.org/markup-compatibility/2006">
      <mc:Choice xmlns:a14="http://schemas.microsoft.com/office/drawing/2010/main" Requires="a14">
        <xdr:graphicFrame macro="">
          <xdr:nvGraphicFramePr>
            <xdr:cNvPr id="28" name="نوع المنتج">
              <a:extLst>
                <a:ext uri="{FF2B5EF4-FFF2-40B4-BE49-F238E27FC236}">
                  <a16:creationId xmlns:a16="http://schemas.microsoft.com/office/drawing/2014/main" id="{2AFBCE75-2C8D-5889-9341-17D34AA66F45}"/>
                </a:ext>
              </a:extLst>
            </xdr:cNvPr>
            <xdr:cNvGraphicFramePr/>
          </xdr:nvGraphicFramePr>
          <xdr:xfrm>
            <a:off x="0" y="0"/>
            <a:ext cx="0" cy="0"/>
          </xdr:xfrm>
          <a:graphic>
            <a:graphicData uri="http://schemas.microsoft.com/office/drawing/2010/slicer">
              <sle:slicer xmlns:sle="http://schemas.microsoft.com/office/drawing/2010/slicer" name="نوع المنتج"/>
            </a:graphicData>
          </a:graphic>
        </xdr:graphicFrame>
      </mc:Choice>
      <mc:Fallback>
        <xdr:sp macro="" textlink="">
          <xdr:nvSpPr>
            <xdr:cNvPr id="0" name=""/>
            <xdr:cNvSpPr>
              <a:spLocks noTextEdit="1"/>
            </xdr:cNvSpPr>
          </xdr:nvSpPr>
          <xdr:spPr>
            <a:xfrm>
              <a:off x="9970198500" y="4076701"/>
              <a:ext cx="2476500" cy="1162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361950</xdr:colOff>
      <xdr:row>2</xdr:row>
      <xdr:rowOff>114300</xdr:rowOff>
    </xdr:from>
    <xdr:to>
      <xdr:col>28</xdr:col>
      <xdr:colOff>381000</xdr:colOff>
      <xdr:row>10</xdr:row>
      <xdr:rowOff>180975</xdr:rowOff>
    </xdr:to>
    <xdr:sp macro="" textlink="">
      <xdr:nvSpPr>
        <xdr:cNvPr id="30" name="Oval 29">
          <a:extLst>
            <a:ext uri="{FF2B5EF4-FFF2-40B4-BE49-F238E27FC236}">
              <a16:creationId xmlns:a16="http://schemas.microsoft.com/office/drawing/2014/main" id="{297A8FEC-F898-8793-1A53-064DCA7C1124}"/>
            </a:ext>
          </a:extLst>
        </xdr:cNvPr>
        <xdr:cNvSpPr/>
      </xdr:nvSpPr>
      <xdr:spPr>
        <a:xfrm>
          <a:off x="9970236600" y="495300"/>
          <a:ext cx="2457450" cy="1590675"/>
        </a:xfrm>
        <a:prstGeom prst="ellipse">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GB" sz="1100"/>
        </a:p>
      </xdr:txBody>
    </xdr:sp>
    <xdr:clientData/>
  </xdr:twoCellAnchor>
  <xdr:twoCellAnchor editAs="oneCell">
    <xdr:from>
      <xdr:col>24</xdr:col>
      <xdr:colOff>257174</xdr:colOff>
      <xdr:row>1</xdr:row>
      <xdr:rowOff>117344</xdr:rowOff>
    </xdr:from>
    <xdr:to>
      <xdr:col>28</xdr:col>
      <xdr:colOff>542924</xdr:colOff>
      <xdr:row>14</xdr:row>
      <xdr:rowOff>66675</xdr:rowOff>
    </xdr:to>
    <xdr:pic>
      <xdr:nvPicPr>
        <xdr:cNvPr id="32" name="Picture 31">
          <a:extLst>
            <a:ext uri="{FF2B5EF4-FFF2-40B4-BE49-F238E27FC236}">
              <a16:creationId xmlns:a16="http://schemas.microsoft.com/office/drawing/2014/main" id="{4AD78BF8-539A-A1BE-A87B-4EF63091CA8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970074676" y="307844"/>
          <a:ext cx="2724150" cy="2425831"/>
        </a:xfrm>
        <a:prstGeom prst="ellipse">
          <a:avLst/>
        </a:prstGeom>
        <a:ln w="63500" cap="rnd">
          <a:noFill/>
        </a:ln>
        <a:effectLst>
          <a:outerShdw blurRad="381000" dist="292100" dir="5400000" sx="-80000" sy="-18000" rotWithShape="0">
            <a:srgbClr val="000000">
              <a:alpha val="22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K" refreshedDate="46135.473714004627" createdVersion="8" refreshedVersion="8" minRefreshableVersion="3" recordCount="2" xr:uid="{136621C5-7C57-4722-9059-3AE2DEE5070E}">
  <cacheSource type="worksheet">
    <worksheetSource name="person_t"/>
  </cacheSource>
  <cacheFields count="2">
    <cacheField name="نوع المستخدم" numFmtId="0">
      <sharedItems count="2">
        <s v="عدد الاشخاص"/>
        <s v="عددالشركات"/>
      </sharedItems>
    </cacheField>
    <cacheField name="عدد المستخدم" numFmtId="0">
      <sharedItems containsSemiMixedTypes="0" containsString="0" containsNumber="1" containsInteger="1" minValue="39" maxValue="86"/>
    </cacheField>
  </cacheFields>
  <extLst>
    <ext xmlns:x14="http://schemas.microsoft.com/office/spreadsheetml/2009/9/main" uri="{725AE2AE-9491-48be-B2B4-4EB974FC3084}">
      <x14:pivotCacheDefinition pivotCacheId="15152037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K" refreshedDate="46135.478896064815" createdVersion="8" refreshedVersion="8" minRefreshableVersion="3" recordCount="125" xr:uid="{AAE8AF17-87B5-49C9-A935-D79CF5394B4D}">
  <cacheSource type="worksheet">
    <worksheetSource name="sales"/>
  </cacheSource>
  <cacheFields count="25">
    <cacheField name="م" numFmtId="0">
      <sharedItems containsSemiMixedTypes="0" containsString="0" containsNumber="1" containsInteger="1" minValue="1" maxValue="127"/>
    </cacheField>
    <cacheField name="رقم العملية" numFmtId="0">
      <sharedItems containsBlank="1" containsMixedTypes="1" containsNumber="1" containsInteger="1" minValue="2514" maxValue="265453625"/>
    </cacheField>
    <cacheField name="رقم الطلب" numFmtId="0">
      <sharedItems containsString="0" containsBlank="1" containsNumber="1" containsInteger="1" minValue="2514" maxValue="1708226"/>
    </cacheField>
    <cacheField name="أسم العميل" numFmtId="0">
      <sharedItems/>
    </cacheField>
    <cacheField name="اسم شخص" numFmtId="0">
      <sharedItems/>
    </cacheField>
    <cacheField name="العنوان" numFmtId="0">
      <sharedItems count="51">
        <s v="العجوزه - الجيزه"/>
        <s v="سموحه - اسكندريه"/>
        <s v="سيدى عبد الرحمن - الساحل الشمالى "/>
        <s v="الغردقه "/>
        <s v="مخزن شيك هومز"/>
        <s v="التجمع الخامس"/>
        <s v="٦ اكتوبر الجيزه "/>
        <s v="العباسيه"/>
        <s v="مصر الجديده"/>
        <s v="المقطم "/>
        <s v="مدينه نصر "/>
        <s v="القاهره الجديده"/>
        <s v="المعادى"/>
        <s v="مخزن اوسكار في القناطر "/>
        <s v="العين السخنه"/>
        <s v="الابراهيميه . الإسكندرية "/>
        <s v="القطاميه"/>
        <s v="١٨ شارع البحيري بولاق الدكرور الجيزه "/>
        <s v="الشروق"/>
        <s v="حدايق الاهرام "/>
        <s v="لافيستا العين السخنه "/>
        <s v="فيصل الجيزه"/>
        <s v="الشيخ زايد اكتوبر"/>
        <s v="الرحاب"/>
        <s v="العبور"/>
        <s v="اسيوط "/>
        <s v="EL-Maadi"/>
        <s v="Madinet Badr"/>
        <s v="المخزن ابو الغيط "/>
        <s v="اكتوبر الجيزه"/>
        <s v="السويس "/>
        <s v="الزمالك"/>
        <s v="البطاش اسكندريه"/>
        <s v="41 كومبوند جولدن جستس الدور 4 شقه 4"/>
        <s v="المعرض مدينه نصر"/>
        <s v="مدينتى"/>
        <s v="المخزن"/>
        <s v="شبرا "/>
        <s v="جليم الإسكندرية "/>
        <s v="المندره اسكندريه"/>
        <s v="اب تاون كايرو التجمع "/>
        <s v="أكتوبر " u="1"/>
        <s v="العباسيه " u="1"/>
        <s v="التجمع الخامس " u="1"/>
        <s v="القطاميه " u="1"/>
        <s v="الشروق القاهره " u="1"/>
        <s v="القاهره الجديده " u="1"/>
        <s v="الشيخ زايد ٦ اكتوبر " u="1"/>
        <s v="الغردقه" u="1"/>
        <s v="أكتوبر الجيزه" u="1"/>
        <s v="٦ اكتوبر الجيزه" u="1"/>
      </sharedItems>
    </cacheField>
    <cacheField name="رقم الموبيل" numFmtId="0">
      <sharedItems containsBlank="1" containsMixedTypes="1" containsNumber="1" containsInteger="1" minValue="1211691428" maxValue="1277038843"/>
    </cacheField>
    <cacheField name="منصة البيع " numFmtId="0">
      <sharedItems count="14">
        <s v="هومزمارت"/>
        <s v="شيك هومز "/>
        <s v="فيسبوك"/>
        <s v="تاكى"/>
        <s v="اوسكار ريتن "/>
        <s v="السويس"/>
        <s v="منزلى"/>
        <s v="مسيو هومزمارت"/>
        <s v="كيمت "/>
        <s v="فيس بوك" u="1"/>
        <s v="تاكى " u="1"/>
        <s v="شيك هومز" u="1"/>
        <s v="منزلى " u="1"/>
        <s v="هومزمارت " u="1"/>
      </sharedItems>
    </cacheField>
    <cacheField name="نوع المنتج" numFmtId="0">
      <sharedItems count="11">
        <s v="سرير"/>
        <s v="تربيزه"/>
        <s v="كنبة "/>
        <s v="ركنة"/>
        <s v="كرسى"/>
        <s v="سرير " u="1"/>
        <s v="كنبة" u="1"/>
        <s v="كنبه" u="1"/>
        <s v="كنبه " u="1"/>
        <s v="ترابيزه" u="1"/>
        <s v="ترابيزه " u="1"/>
      </sharedItems>
    </cacheField>
    <cacheField name="Column2" numFmtId="0">
      <sharedItems containsBlank="1"/>
    </cacheField>
    <cacheField name="الاسم" numFmtId="0">
      <sharedItems containsBlank="1"/>
    </cacheField>
    <cacheField name="المقاس" numFmtId="0">
      <sharedItems containsBlank="1" containsMixedTypes="1" containsNumber="1" containsInteger="1" minValue="80" maxValue="160"/>
    </cacheField>
    <cacheField name="اللون المعدن" numFmtId="0">
      <sharedItems count="13">
        <s v="ابيض"/>
        <s v="اسود"/>
        <s v="ازرق"/>
        <s v="اسود "/>
        <s v="رمادى"/>
        <s v="الوان"/>
        <s v="دهبي"/>
        <s v="بنفسجى"/>
        <s v="اسود وبنى"/>
        <s v="نبيتى "/>
        <s v="ملون"/>
        <s v="اسزد"/>
        <s v="بينك"/>
      </sharedItems>
    </cacheField>
    <cacheField name="لون القماش" numFmtId="0">
      <sharedItems containsBlank="1"/>
    </cacheField>
    <cacheField name="المنتج" numFmtId="0">
      <sharedItems containsBlank="1"/>
    </cacheField>
    <cacheField name="سعر البيع " numFmtId="0">
      <sharedItems containsSemiMixedTypes="0" containsString="0" containsNumber="1" minValue="4020" maxValue="22000"/>
    </cacheField>
    <cacheField name="طريقه الدفع " numFmtId="2">
      <sharedItems containsBlank="1" containsMixedTypes="1" containsNumber="1" minValue="1278.53" maxValue="22000"/>
    </cacheField>
    <cacheField name="ميعاد الطلب" numFmtId="14">
      <sharedItems containsDate="1" containsMixedTypes="1" minDate="2024-07-27T00:00:00" maxDate="2024-12-15T00:00:00"/>
    </cacheField>
    <cacheField name="ميعاد التسليم" numFmtId="14">
      <sharedItems containsDate="1" containsMixedTypes="1" minDate="2024-08-10T00:00:00" maxDate="2025-01-06T00:00:00"/>
    </cacheField>
    <cacheField name="تاريخ التسليم" numFmtId="14">
      <sharedItems containsDate="1" containsBlank="1" containsMixedTypes="1" minDate="2024-08-10T00:00:00" maxDate="2024-12-30T00:00:00"/>
    </cacheField>
    <cacheField name="المسئول عن التسليم" numFmtId="0">
      <sharedItems containsBlank="1"/>
    </cacheField>
    <cacheField name="الحالة" numFmtId="0">
      <sharedItems containsBlank="1" count="12">
        <s v="تم التسليم"/>
        <s v="لاغى"/>
        <s v="لاغى " u="1"/>
        <m u="1"/>
        <s v="نم التسليم" u="1"/>
        <s v="فشل التسليم" u="1"/>
        <s v="لغى" u="1"/>
        <s v="مرتجع" u="1"/>
        <s v="نم التصنيع" u="1"/>
        <s v="تم التسليم " u="1"/>
        <s v="لغي" u="1"/>
        <s v="مرفوض " u="1"/>
      </sharedItems>
    </cacheField>
    <cacheField name="Column1" numFmtId="2">
      <sharedItems containsMixedTypes="1" containsNumber="1" containsInteger="1" minValue="0" maxValue="67"/>
    </cacheField>
    <cacheField name="فرق البضاغه المتسلمه" numFmtId="0">
      <sharedItems containsMixedTypes="1" containsNumber="1" containsInteger="1" minValue="-45643" maxValue="20"/>
    </cacheField>
    <cacheField name="البضاعه المباعه فى موعيدها" numFmtId="0">
      <sharedItems count="3">
        <s v="تم تسليم فى الموعد"/>
        <e v="#VALUE!"/>
        <s v="تسليم متاخر"/>
      </sharedItems>
    </cacheField>
  </cacheFields>
  <extLst>
    <ext xmlns:x14="http://schemas.microsoft.com/office/spreadsheetml/2009/9/main" uri="{725AE2AE-9491-48be-B2B4-4EB974FC3084}">
      <x14:pivotCacheDefinition pivotCacheId="1408241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86"/>
  </r>
  <r>
    <x v="1"/>
    <n v="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n v="1"/>
    <m/>
    <m/>
    <s v="خالد عبد القوى "/>
    <s v="شخص"/>
    <x v="0"/>
    <m/>
    <x v="0"/>
    <x v="0"/>
    <s v="منطبق"/>
    <m/>
    <m/>
    <x v="0"/>
    <m/>
    <s v="سرير منطبق الحديد ابيض والقماش ابيض "/>
    <n v="10160"/>
    <s v="مسبق الدفع"/>
    <d v="2024-07-27T00:00:00"/>
    <d v="2024-08-10T00:00:00"/>
    <d v="2024-08-10T00:00:00"/>
    <s v="تم التسليم عن طريق شركه شحن "/>
    <x v="0"/>
    <n v="14"/>
    <n v="0"/>
    <x v="0"/>
  </r>
  <r>
    <n v="2"/>
    <m/>
    <m/>
    <s v="محمود"/>
    <s v="شخص"/>
    <x v="1"/>
    <m/>
    <x v="0"/>
    <x v="0"/>
    <s v="منطبق"/>
    <m/>
    <m/>
    <x v="1"/>
    <m/>
    <s v="سرير منطبق اسود والقماش اسود "/>
    <n v="10160"/>
    <n v="9749"/>
    <d v="2024-07-28T00:00:00"/>
    <d v="2024-08-11T00:00:00"/>
    <d v="2024-08-11T00:00:00"/>
    <s v="تم التسليم عن طريق شركه شحن "/>
    <x v="0"/>
    <n v="14"/>
    <n v="0"/>
    <x v="0"/>
  </r>
  <r>
    <n v="3"/>
    <m/>
    <m/>
    <s v="سعيد"/>
    <s v="شخص"/>
    <x v="2"/>
    <m/>
    <x v="0"/>
    <x v="0"/>
    <s v="دورين"/>
    <s v="كيفنج"/>
    <n v="90"/>
    <x v="2"/>
    <m/>
    <s v="سرير كيفينج مقاس 90 لون ازرق "/>
    <n v="11455"/>
    <n v="10067.68"/>
    <d v="2024-07-27T00:00:00"/>
    <s v="الغاء"/>
    <m/>
    <s v="فشل التسليم "/>
    <x v="1"/>
    <n v="0"/>
    <e v="#VALUE!"/>
    <x v="1"/>
  </r>
  <r>
    <n v="4"/>
    <m/>
    <m/>
    <s v="ساندرا"/>
    <s v="شخص"/>
    <x v="3"/>
    <m/>
    <x v="0"/>
    <x v="1"/>
    <m/>
    <m/>
    <m/>
    <x v="3"/>
    <m/>
    <s v="ترابيزه قهوه متحركه "/>
    <n v="8642"/>
    <s v="مسبق الدفع"/>
    <d v="2024-08-25T00:00:00"/>
    <d v="2024-09-07T00:00:00"/>
    <d v="2024-08-27T00:00:00"/>
    <s v="تم التسليم عن طريق شركه شحن "/>
    <x v="0"/>
    <n v="13"/>
    <n v="-11"/>
    <x v="0"/>
  </r>
  <r>
    <n v="5"/>
    <m/>
    <m/>
    <s v="زينا "/>
    <s v="شخص"/>
    <x v="2"/>
    <m/>
    <x v="0"/>
    <x v="0"/>
    <s v="دورين"/>
    <s v="نوفال"/>
    <n v="100"/>
    <x v="4"/>
    <m/>
    <s v="سرير نوفال متر رمادى "/>
    <n v="12833"/>
    <n v="12974.22"/>
    <d v="2024-08-16T00:00:00"/>
    <d v="2024-08-31T00:00:00"/>
    <m/>
    <s v="فشل التسليم "/>
    <x v="1"/>
    <n v="15"/>
    <n v="-45535"/>
    <x v="0"/>
  </r>
  <r>
    <n v="6"/>
    <m/>
    <m/>
    <s v="شيك هومز "/>
    <s v="شركة"/>
    <x v="4"/>
    <m/>
    <x v="1"/>
    <x v="2"/>
    <s v="4*1"/>
    <m/>
    <m/>
    <x v="4"/>
    <m/>
    <s v="كنبه سرير رمادى "/>
    <n v="14550"/>
    <s v="مسبق الدفع"/>
    <d v="2024-08-14T00:00:00"/>
    <d v="2024-09-03T00:00:00"/>
    <d v="2024-09-05T00:00:00"/>
    <s v="تم التسليم عن طريق شركه شحن "/>
    <x v="0"/>
    <n v="20"/>
    <n v="2"/>
    <x v="0"/>
  </r>
  <r>
    <n v="7"/>
    <m/>
    <m/>
    <s v="احمد "/>
    <s v="شخص"/>
    <x v="5"/>
    <m/>
    <x v="2"/>
    <x v="2"/>
    <s v="4*1"/>
    <m/>
    <m/>
    <x v="4"/>
    <m/>
    <s v="كنبه سرير رمادى "/>
    <n v="12000"/>
    <n v="12000"/>
    <d v="2024-08-17T00:00:00"/>
    <d v="2024-08-20T00:00:00"/>
    <d v="2024-08-19T00:00:00"/>
    <s v="تم تسليم العميل عن طريق شركه شحن "/>
    <x v="0"/>
    <n v="3"/>
    <n v="-1"/>
    <x v="0"/>
  </r>
  <r>
    <n v="8"/>
    <m/>
    <m/>
    <s v="yilmaz"/>
    <s v="شخص"/>
    <x v="6"/>
    <m/>
    <x v="0"/>
    <x v="0"/>
    <s v="فردى"/>
    <m/>
    <m/>
    <x v="0"/>
    <m/>
    <s v="سرير فردى ابيض "/>
    <n v="7228"/>
    <s v="مسبق الدفع"/>
    <d v="2024-08-25T00:00:00"/>
    <d v="2024-09-03T00:00:00"/>
    <d v="2024-09-10T00:00:00"/>
    <s v="تم التسليم عن طريق شركه شحن "/>
    <x v="0"/>
    <n v="9"/>
    <n v="7"/>
    <x v="2"/>
  </r>
  <r>
    <n v="9"/>
    <m/>
    <m/>
    <s v="تاكى "/>
    <s v="شركة"/>
    <x v="7"/>
    <m/>
    <x v="3"/>
    <x v="3"/>
    <s v="ركنة بسرير"/>
    <m/>
    <m/>
    <x v="5"/>
    <m/>
    <s v="ركنه "/>
    <n v="22000"/>
    <n v="22000"/>
    <d v="2024-08-19T00:00:00"/>
    <d v="2024-09-01T00:00:00"/>
    <d v="2024-09-17T00:00:00"/>
    <m/>
    <x v="0"/>
    <n v="13"/>
    <n v="16"/>
    <x v="2"/>
  </r>
  <r>
    <n v="10"/>
    <m/>
    <m/>
    <s v="تاكى "/>
    <s v="شركة"/>
    <x v="7"/>
    <m/>
    <x v="3"/>
    <x v="2"/>
    <s v="سحارة"/>
    <m/>
    <m/>
    <x v="1"/>
    <m/>
    <s v="٢ كنبه سحاره بمخدع"/>
    <n v="16000"/>
    <n v="16000"/>
    <s v="الغاء"/>
    <s v="الغاء"/>
    <s v="الغاء"/>
    <s v="ملغى "/>
    <x v="1"/>
    <e v="#VALUE!"/>
    <e v="#VALUE!"/>
    <x v="1"/>
  </r>
  <r>
    <n v="11"/>
    <m/>
    <m/>
    <s v="تاكى "/>
    <s v="شركة"/>
    <x v="7"/>
    <m/>
    <x v="3"/>
    <x v="2"/>
    <s v="سحارة"/>
    <m/>
    <m/>
    <x v="1"/>
    <m/>
    <s v="٢ كنبه سحاره بدون مخدع "/>
    <n v="6000"/>
    <n v="12000"/>
    <d v="2024-08-25T00:00:00"/>
    <d v="2024-09-15T00:00:00"/>
    <d v="2024-09-17T00:00:00"/>
    <s v="تم التسليم محمود على "/>
    <x v="0"/>
    <n v="21"/>
    <n v="2"/>
    <x v="0"/>
  </r>
  <r>
    <n v="12"/>
    <m/>
    <m/>
    <s v="تاكى "/>
    <s v="شركة"/>
    <x v="7"/>
    <m/>
    <x v="3"/>
    <x v="2"/>
    <s v="سحارة"/>
    <m/>
    <m/>
    <x v="1"/>
    <m/>
    <s v="٢ كنبه سحاره بدون مخدع "/>
    <n v="6000"/>
    <n v="12000"/>
    <d v="2024-08-25T00:00:00"/>
    <d v="2024-09-15T00:00:00"/>
    <d v="2024-09-17T00:00:00"/>
    <s v="تم التسليم محمود على "/>
    <x v="0"/>
    <n v="21"/>
    <n v="2"/>
    <x v="0"/>
  </r>
  <r>
    <n v="13"/>
    <m/>
    <m/>
    <s v="على رشوان "/>
    <s v="شخص"/>
    <x v="8"/>
    <m/>
    <x v="0"/>
    <x v="0"/>
    <s v="دورين"/>
    <s v="نوفال"/>
    <n v="80"/>
    <x v="0"/>
    <m/>
    <s v="سرير نوفال ابيض مقاس ٨٠"/>
    <n v="10499"/>
    <n v="8924"/>
    <d v="2024-09-01T00:00:00"/>
    <d v="2024-09-16T00:00:00"/>
    <d v="2024-09-08T00:00:00"/>
    <s v="تم التسليم عن طريق شركه شحن "/>
    <x v="0"/>
    <n v="15"/>
    <n v="-8"/>
    <x v="0"/>
  </r>
  <r>
    <n v="14"/>
    <n v="1404561"/>
    <n v="1199284"/>
    <s v="احمد فخرى "/>
    <s v="شخص"/>
    <x v="6"/>
    <m/>
    <x v="0"/>
    <x v="0"/>
    <s v="فردى"/>
    <s v="نوفال"/>
    <n v="80"/>
    <x v="0"/>
    <m/>
    <s v="سرير فردى خشب موسكى الحديد ابيض مقاس ٨٠"/>
    <n v="7295"/>
    <n v="5895"/>
    <d v="2024-09-05T00:00:00"/>
    <d v="2024-09-14T00:00:00"/>
    <m/>
    <m/>
    <x v="1"/>
    <n v="9"/>
    <n v="-45549"/>
    <x v="0"/>
  </r>
  <r>
    <n v="15"/>
    <n v="1401137"/>
    <n v="1197500"/>
    <s v="لينا "/>
    <s v="شخص"/>
    <x v="9"/>
    <m/>
    <x v="0"/>
    <x v="1"/>
    <s v="2 ميكانزم"/>
    <m/>
    <m/>
    <x v="3"/>
    <m/>
    <s v="ترابيزه قهوه علويه جديده "/>
    <n v="7849"/>
    <s v="مسبق الدفع"/>
    <d v="2024-09-04T00:00:00"/>
    <d v="2024-09-16T00:00:00"/>
    <d v="2024-09-25T00:00:00"/>
    <s v="تم التسليم عن طريق شركه شحن "/>
    <x v="1"/>
    <n v="12"/>
    <n v="9"/>
    <x v="2"/>
  </r>
  <r>
    <n v="16"/>
    <m/>
    <m/>
    <s v="فيصل نعيم "/>
    <s v="شخص"/>
    <x v="5"/>
    <m/>
    <x v="4"/>
    <x v="0"/>
    <s v="دورين"/>
    <s v="كيفنج"/>
    <n v="120"/>
    <x v="1"/>
    <m/>
    <s v="٢ سرير كيفنج ١٢٠ اسود "/>
    <n v="6180"/>
    <n v="9700"/>
    <d v="2024-09-03T00:00:00"/>
    <d v="2024-09-16T00:00:00"/>
    <d v="2024-09-15T00:00:00"/>
    <s v="تم التسليم محمود على "/>
    <x v="0"/>
    <n v="13"/>
    <n v="-1"/>
    <x v="0"/>
  </r>
  <r>
    <n v="17"/>
    <m/>
    <m/>
    <s v="فيصل نعيم "/>
    <s v="شخص"/>
    <x v="5"/>
    <m/>
    <x v="4"/>
    <x v="0"/>
    <s v="دورين"/>
    <s v="كيفنج"/>
    <n v="120"/>
    <x v="1"/>
    <m/>
    <s v="٢ سرير كيفنج ١٢٠ اسود "/>
    <n v="6180"/>
    <n v="9700"/>
    <d v="2024-09-03T00:00:00"/>
    <d v="2024-09-16T00:00:00"/>
    <d v="2024-09-15T00:00:00"/>
    <s v="تم التسليم محمود على "/>
    <x v="0"/>
    <n v="13"/>
    <n v="-1"/>
    <x v="0"/>
  </r>
  <r>
    <n v="18"/>
    <n v="1400149"/>
    <n v="1196947"/>
    <s v="ellho elkafy"/>
    <s v="شركة"/>
    <x v="10"/>
    <m/>
    <x v="0"/>
    <x v="0"/>
    <s v="دورين"/>
    <s v="كينج"/>
    <n v="80"/>
    <x v="0"/>
    <m/>
    <s v="سرير كينج ابيض مقاس ٨٠ التصميم الجديد "/>
    <n v="11199"/>
    <n v="11310"/>
    <d v="2024-09-04T00:00:00"/>
    <d v="2024-09-18T00:00:00"/>
    <m/>
    <m/>
    <x v="1"/>
    <n v="14"/>
    <n v="-45553"/>
    <x v="0"/>
  </r>
  <r>
    <n v="19"/>
    <n v="1408099"/>
    <n v="1201057"/>
    <s v="احمد "/>
    <s v="شخص"/>
    <x v="11"/>
    <m/>
    <x v="0"/>
    <x v="0"/>
    <s v="فردى"/>
    <s v="فورجينا"/>
    <n v="80"/>
    <x v="0"/>
    <m/>
    <s v="٤سرير فردى خشب موسكى الحديد ابيض مقاس ٨٠"/>
    <n v="7987"/>
    <s v="مسبق الدفع"/>
    <d v="2024-09-06T00:00:00"/>
    <d v="2024-09-16T00:00:00"/>
    <d v="2024-09-21T00:00:00"/>
    <s v="تم التسليم محمود على "/>
    <x v="0"/>
    <n v="10"/>
    <n v="5"/>
    <x v="2"/>
  </r>
  <r>
    <n v="20"/>
    <m/>
    <m/>
    <s v="تاكى"/>
    <s v="شركة"/>
    <x v="7"/>
    <m/>
    <x v="3"/>
    <x v="4"/>
    <s v="فنسيا"/>
    <m/>
    <m/>
    <x v="1"/>
    <m/>
    <s v="٢ فوتيه فنيسيا "/>
    <n v="9300"/>
    <n v="9300"/>
    <d v="2024-09-04T00:00:00"/>
    <d v="2024-09-15T00:00:00"/>
    <d v="2024-09-17T00:00:00"/>
    <s v="تم التسليم محمود على "/>
    <x v="0"/>
    <n v="11"/>
    <n v="2"/>
    <x v="0"/>
  </r>
  <r>
    <n v="21"/>
    <n v="1408098"/>
    <n v="1201057"/>
    <s v="احمد "/>
    <s v="شخص"/>
    <x v="11"/>
    <m/>
    <x v="0"/>
    <x v="0"/>
    <s v="فردى"/>
    <s v="فورجينا"/>
    <n v="80"/>
    <x v="0"/>
    <m/>
    <s v="٤سرير فردى خشب موسكى الحديد ابيض مقاس ٨٠"/>
    <n v="7987"/>
    <s v="مسبق الدفع"/>
    <d v="2024-09-06T00:00:00"/>
    <d v="2024-09-16T00:00:00"/>
    <d v="2024-09-21T00:00:00"/>
    <s v="تم التسليم محمود على "/>
    <x v="0"/>
    <n v="10"/>
    <n v="5"/>
    <x v="2"/>
  </r>
  <r>
    <n v="22"/>
    <n v="1408100"/>
    <n v="1201057"/>
    <s v="احمد "/>
    <s v="شخص"/>
    <x v="11"/>
    <m/>
    <x v="0"/>
    <x v="0"/>
    <s v="فردى"/>
    <s v="فورجينا"/>
    <n v="80"/>
    <x v="0"/>
    <m/>
    <s v="٤سرير فردى خشب موسكى الحديد ابيض مقاس ٨٠"/>
    <n v="7987"/>
    <s v="مسبق الدفع"/>
    <d v="2024-09-06T00:00:00"/>
    <d v="2024-09-16T00:00:00"/>
    <d v="2024-09-21T00:00:00"/>
    <s v="تم التسليم محمود على "/>
    <x v="0"/>
    <n v="10"/>
    <n v="5"/>
    <x v="2"/>
  </r>
  <r>
    <n v="23"/>
    <n v="1408101"/>
    <n v="1201057"/>
    <s v="احمد "/>
    <s v="شخص"/>
    <x v="11"/>
    <m/>
    <x v="0"/>
    <x v="0"/>
    <s v="فردى"/>
    <s v="فورجينا"/>
    <n v="80"/>
    <x v="0"/>
    <m/>
    <s v="٤سرير فردى خشب موسكى الحديد ابيض مقاس ٨٠"/>
    <n v="7987"/>
    <s v="مسبق الدفع"/>
    <d v="2024-09-06T00:00:00"/>
    <d v="2024-09-16T00:00:00"/>
    <d v="2024-09-21T00:00:00"/>
    <s v="تم التسليم محمود على "/>
    <x v="0"/>
    <n v="10"/>
    <n v="5"/>
    <x v="2"/>
  </r>
  <r>
    <n v="24"/>
    <n v="1513856"/>
    <n v="1231946"/>
    <s v="صفاء"/>
    <s v="شخص"/>
    <x v="12"/>
    <m/>
    <x v="0"/>
    <x v="1"/>
    <s v="2 ميكانزم"/>
    <m/>
    <m/>
    <x v="3"/>
    <m/>
    <s v="ترابيزه قهوه علويه جديده "/>
    <n v="8849"/>
    <s v="مسبق الدفع"/>
    <d v="2024-09-03T00:00:00"/>
    <d v="2024-10-16T00:00:00"/>
    <m/>
    <m/>
    <x v="1"/>
    <n v="43"/>
    <n v="-45581"/>
    <x v="0"/>
  </r>
  <r>
    <n v="25"/>
    <n v="1411691"/>
    <n v="1202775"/>
    <s v="حسن حازم"/>
    <s v="شخص"/>
    <x v="6"/>
    <m/>
    <x v="0"/>
    <x v="0"/>
    <s v="فردى"/>
    <s v="اسبانى"/>
    <n v="120"/>
    <x v="0"/>
    <m/>
    <s v="سرير اسبانى ابيض ١٢٠"/>
    <n v="10987"/>
    <s v="مسبق الدفع"/>
    <d v="2024-09-09T00:00:00"/>
    <d v="2024-09-17T00:00:00"/>
    <d v="2024-09-21T00:00:00"/>
    <s v="تم التسليم محمود على "/>
    <x v="0"/>
    <n v="8"/>
    <n v="4"/>
    <x v="2"/>
  </r>
  <r>
    <n v="26"/>
    <m/>
    <m/>
    <s v="شيك هومز "/>
    <s v="شركة"/>
    <x v="4"/>
    <m/>
    <x v="1"/>
    <x v="0"/>
    <s v="دورين"/>
    <s v="كينج"/>
    <n v="100"/>
    <x v="0"/>
    <m/>
    <s v="سرير كينج ابيض "/>
    <n v="9208"/>
    <n v="5781.75"/>
    <d v="2024-09-01T00:00:00"/>
    <d v="2024-09-19T00:00:00"/>
    <d v="2024-09-21T00:00:00"/>
    <s v="تم التسليم محمود على "/>
    <x v="0"/>
    <n v="18"/>
    <n v="2"/>
    <x v="0"/>
  </r>
  <r>
    <n v="27"/>
    <m/>
    <m/>
    <s v="شيك هومز "/>
    <s v="شركة"/>
    <x v="4"/>
    <m/>
    <x v="1"/>
    <x v="0"/>
    <s v="دورين"/>
    <s v="كينج"/>
    <n v="100"/>
    <x v="1"/>
    <m/>
    <s v="سرير كينج اسود "/>
    <n v="9208"/>
    <n v="1278.53"/>
    <d v="2024-09-01T00:00:00"/>
    <d v="2024-09-19T00:00:00"/>
    <d v="2024-09-21T00:00:00"/>
    <s v="تم التسليم محمود على "/>
    <x v="0"/>
    <n v="18"/>
    <n v="2"/>
    <x v="0"/>
  </r>
  <r>
    <n v="28"/>
    <m/>
    <m/>
    <s v="اوسكار راتن"/>
    <s v="شركة"/>
    <x v="13"/>
    <m/>
    <x v="4"/>
    <x v="0"/>
    <s v="فردى"/>
    <s v="فورجينا"/>
    <n v="120"/>
    <x v="0"/>
    <m/>
    <s v="٢ سريرفورجينا خشب موسكى ابيض مقاس ١٢٠"/>
    <n v="4020"/>
    <s v="حساب شركه"/>
    <d v="2024-09-12T00:00:00"/>
    <d v="2024-09-21T00:00:00"/>
    <d v="2024-09-22T00:00:00"/>
    <s v="تم التسليم محمود على "/>
    <x v="0"/>
    <n v="9"/>
    <n v="1"/>
    <x v="0"/>
  </r>
  <r>
    <n v="29"/>
    <m/>
    <m/>
    <s v="اوسكار راتن"/>
    <s v="شركة"/>
    <x v="13"/>
    <m/>
    <x v="4"/>
    <x v="0"/>
    <s v="فردى"/>
    <s v="فورجينا"/>
    <n v="120"/>
    <x v="0"/>
    <m/>
    <s v="٢ سريرفورجينا خشب موسكى ابيض مقاس ١٢٠"/>
    <n v="4020"/>
    <s v="حساب شركه"/>
    <d v="2024-09-12T00:00:00"/>
    <d v="2024-09-21T00:00:00"/>
    <d v="2024-09-22T00:00:00"/>
    <s v="تم التسليم محمود على "/>
    <x v="0"/>
    <n v="9"/>
    <n v="1"/>
    <x v="0"/>
  </r>
  <r>
    <n v="30"/>
    <m/>
    <m/>
    <s v="اوسكار راتن"/>
    <s v="شركة"/>
    <x v="13"/>
    <m/>
    <x v="4"/>
    <x v="0"/>
    <s v="فردى"/>
    <s v="ارفيل"/>
    <n v="120"/>
    <x v="1"/>
    <m/>
    <s v="٢ سرير ارفيل ١٢٠ اسود "/>
    <n v="4020"/>
    <s v="مسبق الدفع "/>
    <d v="2024-09-12T00:00:00"/>
    <d v="2024-09-21T00:00:00"/>
    <d v="2024-09-22T00:00:00"/>
    <s v="تم التسليم محمود على "/>
    <x v="0"/>
    <n v="9"/>
    <n v="1"/>
    <x v="0"/>
  </r>
  <r>
    <n v="31"/>
    <m/>
    <m/>
    <s v="اوسكار راتن"/>
    <s v="شركة"/>
    <x v="13"/>
    <m/>
    <x v="4"/>
    <x v="0"/>
    <s v="فردى"/>
    <s v="ارفيل"/>
    <n v="120"/>
    <x v="1"/>
    <m/>
    <s v="٢ سرير ارفيل ١٢٠ اسود "/>
    <n v="4020"/>
    <s v="مسبق الدفع "/>
    <d v="2024-09-12T00:00:00"/>
    <d v="2024-09-21T00:00:00"/>
    <d v="2024-09-22T00:00:00"/>
    <s v="تم التسليم محمود على "/>
    <x v="0"/>
    <n v="9"/>
    <n v="1"/>
    <x v="0"/>
  </r>
  <r>
    <n v="32"/>
    <n v="1509211"/>
    <n v="1230837"/>
    <s v="صفاء الحكيم"/>
    <s v="شخص"/>
    <x v="14"/>
    <m/>
    <x v="0"/>
    <x v="0"/>
    <s v="منطبق"/>
    <m/>
    <m/>
    <x v="1"/>
    <s v="اسود"/>
    <s v="سرير منطببق اسود وقماش اسود"/>
    <n v="9399"/>
    <s v="مسبق الدفع "/>
    <d v="2024-09-14T00:00:00"/>
    <d v="2024-09-22T00:00:00"/>
    <s v="فشل التسليم"/>
    <s v="فشل التسليم "/>
    <x v="1"/>
    <n v="8"/>
    <e v="#VALUE!"/>
    <x v="1"/>
  </r>
  <r>
    <n v="33"/>
    <n v="1536687"/>
    <n v="1237682"/>
    <s v="يوسف شناوى"/>
    <s v="شخص"/>
    <x v="15"/>
    <m/>
    <x v="0"/>
    <x v="1"/>
    <s v="رف سحاب"/>
    <m/>
    <m/>
    <x v="3"/>
    <m/>
    <s v="ترابيزه قهوه علويه برف سحاب "/>
    <n v="8349"/>
    <s v="مسبق الدفع "/>
    <d v="2024-09-14T00:00:00"/>
    <d v="2024-09-22T00:00:00"/>
    <d v="2024-09-24T00:00:00"/>
    <s v="تم التسليم عن طريق شركه شحن "/>
    <x v="0"/>
    <n v="8"/>
    <n v="2"/>
    <x v="0"/>
  </r>
  <r>
    <n v="34"/>
    <n v="1520537"/>
    <n v="1233624"/>
    <s v="حاتم العيسوي "/>
    <s v="شخص"/>
    <x v="6"/>
    <m/>
    <x v="0"/>
    <x v="0"/>
    <s v="منطبق"/>
    <m/>
    <m/>
    <x v="1"/>
    <s v="اسود"/>
    <s v="سرير منطبق اسود حديد وقماش"/>
    <n v="9399"/>
    <s v="مسبق الدفع"/>
    <d v="2024-09-13T00:00:00"/>
    <d v="2024-09-24T00:00:00"/>
    <s v="31/9/2024"/>
    <s v="تم التسليم عن طريق شركه شحن "/>
    <x v="0"/>
    <n v="11"/>
    <e v="#VALUE!"/>
    <x v="1"/>
  </r>
  <r>
    <n v="35"/>
    <n v="1422998"/>
    <n v="1207350"/>
    <s v="رنا "/>
    <s v="شخص"/>
    <x v="16"/>
    <m/>
    <x v="0"/>
    <x v="1"/>
    <s v="2 ميكانزم"/>
    <m/>
    <m/>
    <x v="3"/>
    <m/>
    <s v="ترابيزه قهوه علويه جديده "/>
    <n v="7849"/>
    <n v="7928"/>
    <d v="2024-09-12T00:00:00"/>
    <d v="2024-09-26T00:00:00"/>
    <s v="تم التسليم عن طريق شركه شحن "/>
    <s v="تم التسليم عن طريق شركه شحن "/>
    <x v="0"/>
    <n v="14"/>
    <e v="#VALUE!"/>
    <x v="1"/>
  </r>
  <r>
    <n v="36"/>
    <m/>
    <m/>
    <s v="عبير نور الدين"/>
    <s v="شخص"/>
    <x v="17"/>
    <s v="1229928475-01022373996"/>
    <x v="2"/>
    <x v="0"/>
    <s v="ثلاثه ادوار"/>
    <s v="كيفنج"/>
    <n v="100"/>
    <x v="1"/>
    <m/>
    <s v="سرير ٣ ادورا اسود مقاس ١٠٠ "/>
    <n v="9450"/>
    <n v="9450"/>
    <d v="2024-09-12T00:00:00"/>
    <d v="2024-09-26T00:00:00"/>
    <m/>
    <m/>
    <x v="1"/>
    <n v="14"/>
    <n v="-45561"/>
    <x v="0"/>
  </r>
  <r>
    <n v="37"/>
    <n v="1459790"/>
    <n v="1218257"/>
    <s v="اسراء ابو العنين "/>
    <s v="شخص"/>
    <x v="11"/>
    <m/>
    <x v="0"/>
    <x v="0"/>
    <s v="فردى"/>
    <s v="اسبانى"/>
    <n v="120"/>
    <x v="1"/>
    <m/>
    <s v="سرير اسبانى اسود مقاس ١٢٠"/>
    <n v="7460"/>
    <s v="مسبق الدفع"/>
    <d v="2024-09-13T00:00:00"/>
    <d v="2024-09-26T00:00:00"/>
    <d v="2024-10-03T00:00:00"/>
    <s v="تم التسليم محمود على "/>
    <x v="0"/>
    <n v="13"/>
    <n v="7"/>
    <x v="2"/>
  </r>
  <r>
    <n v="38"/>
    <n v="1455486"/>
    <n v="1217163"/>
    <s v="وائل صادق"/>
    <s v="شخص"/>
    <x v="11"/>
    <m/>
    <x v="0"/>
    <x v="0"/>
    <s v="فردى"/>
    <s v="كورين"/>
    <n v="140"/>
    <x v="6"/>
    <s v="رمادى"/>
    <s v="سرير كوين مقاس ١٤٠ دهبي ورمادى "/>
    <n v="9528"/>
    <s v="مسبق الدفع"/>
    <d v="2024-09-13T00:00:00"/>
    <d v="2024-09-26T00:00:00"/>
    <d v="2024-10-03T00:00:00"/>
    <s v="تم التسليم محمود على "/>
    <x v="0"/>
    <n v="13"/>
    <n v="7"/>
    <x v="2"/>
  </r>
  <r>
    <n v="39"/>
    <n v="1504407"/>
    <n v="1229760"/>
    <s v="حسن مغرب "/>
    <s v="شخص"/>
    <x v="6"/>
    <m/>
    <x v="0"/>
    <x v="0"/>
    <s v="دورين"/>
    <s v="كيفنج"/>
    <n v="120"/>
    <x v="4"/>
    <m/>
    <s v="سرير كيفنج ١٢٠ رمادى "/>
    <n v="12999"/>
    <s v="مسبق الدفع"/>
    <d v="2024-09-14T00:00:00"/>
    <d v="2024-09-27T00:00:00"/>
    <d v="2024-10-02T00:00:00"/>
    <s v="تم التسليم محمود على "/>
    <x v="0"/>
    <n v="13"/>
    <n v="5"/>
    <x v="2"/>
  </r>
  <r>
    <n v="40"/>
    <n v="1423361"/>
    <n v="1207484"/>
    <s v="على السيد "/>
    <s v="شخص"/>
    <x v="18"/>
    <m/>
    <x v="0"/>
    <x v="0"/>
    <s v="دورين"/>
    <s v="نوفال"/>
    <n v="90"/>
    <x v="1"/>
    <m/>
    <s v="سرير نوفال  ٩٠ اسود "/>
    <n v="5999"/>
    <s v="مسبق الدفع"/>
    <d v="2024-09-12T00:00:00"/>
    <d v="2024-09-29T00:00:00"/>
    <m/>
    <m/>
    <x v="0"/>
    <n v="17"/>
    <n v="-45564"/>
    <x v="0"/>
  </r>
  <r>
    <n v="41"/>
    <n v="1415725"/>
    <n v="1204732"/>
    <s v="هشام بسيونى "/>
    <s v="شخص"/>
    <x v="19"/>
    <m/>
    <x v="0"/>
    <x v="0"/>
    <s v="دورين"/>
    <s v="كيفنج"/>
    <n v="100"/>
    <x v="1"/>
    <m/>
    <s v="            ٢ سرير كيفنج ١٠٠ اسود "/>
    <n v="11949"/>
    <n v="10749"/>
    <d v="2024-09-12T00:00:00"/>
    <d v="2024-09-29T00:00:00"/>
    <d v="2024-10-02T00:00:00"/>
    <s v="تم التسليم محمود على "/>
    <x v="0"/>
    <n v="17"/>
    <n v="3"/>
    <x v="2"/>
  </r>
  <r>
    <n v="42"/>
    <n v="1415726"/>
    <n v="1204732"/>
    <s v="هشام بسيونى "/>
    <s v="شخص"/>
    <x v="19"/>
    <m/>
    <x v="0"/>
    <x v="0"/>
    <s v="دورين"/>
    <s v="كيفنج"/>
    <n v="100"/>
    <x v="1"/>
    <m/>
    <s v="            ٢ سرير كيفنج ١٠٠ اسود "/>
    <n v="11949"/>
    <n v="10749"/>
    <d v="2024-09-12T00:00:00"/>
    <d v="2024-09-29T00:00:00"/>
    <d v="2024-10-02T00:00:00"/>
    <s v="تم التسليم محمود على "/>
    <x v="0"/>
    <n v="17"/>
    <n v="3"/>
    <x v="2"/>
  </r>
  <r>
    <n v="43"/>
    <n v="1499397"/>
    <n v="1228586"/>
    <s v="احمد "/>
    <s v="شخص"/>
    <x v="18"/>
    <m/>
    <x v="0"/>
    <x v="0"/>
    <s v="ثلاثه ادوار"/>
    <s v="كيفنج"/>
    <n v="80"/>
    <x v="0"/>
    <m/>
    <s v="سرير ٣ ادوار ابيض مقاس ٨٠ ابيض "/>
    <n v="16599"/>
    <s v="مسبق الدفع"/>
    <d v="2024-09-13T00:00:00"/>
    <d v="2024-09-30T00:00:00"/>
    <d v="2024-10-03T00:00:00"/>
    <s v="تم التسليم محمود على "/>
    <x v="0"/>
    <n v="17"/>
    <n v="3"/>
    <x v="2"/>
  </r>
  <r>
    <n v="44"/>
    <n v="1458696"/>
    <n v="1217982"/>
    <s v="ساره وجيه "/>
    <s v="شخص"/>
    <x v="3"/>
    <m/>
    <x v="0"/>
    <x v="0"/>
    <s v="دورين"/>
    <s v="كيفنج"/>
    <n v="80"/>
    <x v="0"/>
    <m/>
    <s v="سرير كيفنج دورين مقاس ٨٠ ابيض "/>
    <n v="10999"/>
    <s v="مسبق الدفع"/>
    <d v="2024-09-13T00:00:00"/>
    <d v="2024-09-30T00:00:00"/>
    <d v="2024-10-16T00:00:00"/>
    <s v="تم التسليم عن طريق شركه شحن "/>
    <x v="0"/>
    <n v="17"/>
    <n v="16"/>
    <x v="2"/>
  </r>
  <r>
    <n v="45"/>
    <n v="1480814"/>
    <n v="1223964"/>
    <s v="مها "/>
    <s v="شخص"/>
    <x v="20"/>
    <m/>
    <x v="0"/>
    <x v="0"/>
    <s v="دورين"/>
    <s v="كيفنج"/>
    <n v="140"/>
    <x v="2"/>
    <m/>
    <s v="سرير استيل ازرق مقاس ١٤٠"/>
    <n v="13099"/>
    <s v="مسبق الدفع"/>
    <d v="2024-09-13T00:00:00"/>
    <d v="2024-09-30T00:00:00"/>
    <d v="2024-10-03T00:00:00"/>
    <s v="تم التسليم عن طريق شركه شحن "/>
    <x v="0"/>
    <n v="17"/>
    <n v="3"/>
    <x v="2"/>
  </r>
  <r>
    <n v="46"/>
    <n v="1492471"/>
    <n v="1227052"/>
    <s v="بسام الشربينى "/>
    <s v="شخص"/>
    <x v="6"/>
    <m/>
    <x v="0"/>
    <x v="0"/>
    <s v="دورين"/>
    <s v="كينج"/>
    <n v="120"/>
    <x v="7"/>
    <m/>
    <s v="سرير كينج ١٢٠ بنفسجى "/>
    <n v="13849"/>
    <s v="مسبق الدفع"/>
    <d v="2024-09-13T00:00:00"/>
    <d v="2024-09-30T00:00:00"/>
    <d v="2024-10-20T00:00:00"/>
    <s v="تم التسليم محمود على "/>
    <x v="0"/>
    <n v="17"/>
    <n v="20"/>
    <x v="2"/>
  </r>
  <r>
    <n v="47"/>
    <n v="1507912"/>
    <n v="1230527"/>
    <s v="هبه عبد الفتاح "/>
    <s v="شخص"/>
    <x v="11"/>
    <m/>
    <x v="0"/>
    <x v="2"/>
    <s v="4*1"/>
    <m/>
    <m/>
    <x v="1"/>
    <s v="رمادى"/>
    <s v="كنبه سرير ٤ حركه "/>
    <n v="21999"/>
    <s v="مسبق الدفع"/>
    <d v="2024-09-13T00:00:00"/>
    <d v="2024-09-30T00:00:00"/>
    <s v="تم التسليم عن طريق شركه شحن "/>
    <s v="تم التسليم محمود على "/>
    <x v="0"/>
    <n v="17"/>
    <e v="#VALUE!"/>
    <x v="1"/>
  </r>
  <r>
    <n v="48"/>
    <n v="1525747"/>
    <n v="1234936"/>
    <s v="اسراء ابراهيم "/>
    <s v="شخص"/>
    <x v="6"/>
    <m/>
    <x v="0"/>
    <x v="0"/>
    <s v="دورين"/>
    <s v="كيفنج"/>
    <n v="80"/>
    <x v="0"/>
    <m/>
    <s v="سرير كيفنج دورين مقاس ٨٠ ابيض "/>
    <n v="10999"/>
    <s v="مسبق الدفع"/>
    <d v="2024-09-13T00:00:00"/>
    <d v="2024-09-30T00:00:00"/>
    <d v="2024-10-15T00:00:00"/>
    <s v="تم التسليم محمود على "/>
    <x v="0"/>
    <n v="17"/>
    <n v="15"/>
    <x v="2"/>
  </r>
  <r>
    <n v="49"/>
    <n v="1536313"/>
    <n v="1237601"/>
    <s v="طارق كمال "/>
    <s v="شخص"/>
    <x v="12"/>
    <m/>
    <x v="0"/>
    <x v="0"/>
    <s v="ثلاثه ادوار"/>
    <s v="كيفنج"/>
    <n v="90"/>
    <x v="1"/>
    <m/>
    <s v="سرير ٣ ادوار اسود مقاس ٩٠ "/>
    <n v="17249"/>
    <s v="مسبق الدفع"/>
    <d v="2024-09-13T00:00:00"/>
    <d v="2024-09-30T00:00:00"/>
    <d v="2024-10-04T00:00:00"/>
    <s v="تم التسليم محمود على "/>
    <x v="0"/>
    <n v="17"/>
    <n v="4"/>
    <x v="2"/>
  </r>
  <r>
    <n v="50"/>
    <n v="1505609"/>
    <n v="1230031"/>
    <s v="ديفد بهجت "/>
    <s v="شخص"/>
    <x v="21"/>
    <m/>
    <x v="0"/>
    <x v="1"/>
    <s v="2 ميكانزم"/>
    <m/>
    <m/>
    <x v="3"/>
    <m/>
    <s v="تربيزه قهوه ٢ رافع"/>
    <n v="8349"/>
    <s v="مسبق الدفع"/>
    <d v="2024-09-14T00:00:00"/>
    <d v="2024-10-16T00:00:00"/>
    <d v="2024-10-21T00:00:00"/>
    <s v="تم التسليم محمود على "/>
    <x v="0"/>
    <n v="32"/>
    <n v="5"/>
    <x v="2"/>
  </r>
  <r>
    <n v="51"/>
    <n v="1612229"/>
    <n v="1254076"/>
    <s v="اياد "/>
    <s v="شخص"/>
    <x v="9"/>
    <m/>
    <x v="0"/>
    <x v="1"/>
    <s v="بمكتبة"/>
    <m/>
    <m/>
    <x v="3"/>
    <m/>
    <s v="ترابيزه قهوه متحركه "/>
    <n v="7849"/>
    <s v="مسبق الدفع"/>
    <d v="2024-09-14T00:00:00"/>
    <d v="2024-10-29T00:00:00"/>
    <d v="2024-10-30T00:00:00"/>
    <s v="تم التسليم محمود على "/>
    <x v="0"/>
    <n v="45"/>
    <n v="1"/>
    <x v="0"/>
  </r>
  <r>
    <n v="52"/>
    <n v="1673771"/>
    <n v="1269559"/>
    <s v="ميار خورشد"/>
    <s v="شخص"/>
    <x v="6"/>
    <m/>
    <x v="0"/>
    <x v="0"/>
    <s v="منطبق"/>
    <m/>
    <m/>
    <x v="1"/>
    <s v="اسود"/>
    <s v="سرير منطبق اسود حديد ومعدن "/>
    <n v="9399"/>
    <s v="مسبق الدفع "/>
    <d v="2024-09-14T00:00:00"/>
    <d v="2024-10-29T00:00:00"/>
    <d v="2024-10-15T00:00:00"/>
    <s v="تم التسليم محمود على "/>
    <x v="0"/>
    <n v="45"/>
    <n v="-14"/>
    <x v="0"/>
  </r>
  <r>
    <n v="53"/>
    <n v="1667352"/>
    <n v="1267819"/>
    <s v="عبد الله سيد "/>
    <s v="شخص"/>
    <x v="22"/>
    <m/>
    <x v="0"/>
    <x v="0"/>
    <s v="فردى"/>
    <s v="اسبانى"/>
    <n v="140"/>
    <x v="1"/>
    <m/>
    <s v="سرير اسبانى  ١٤٠ اسود وبيج "/>
    <n v="11817"/>
    <s v="مسبق الدفع "/>
    <d v="2024-09-14T00:00:00"/>
    <d v="2024-10-29T00:00:00"/>
    <d v="2024-10-15T00:00:00"/>
    <s v="تم التسليم محمود على "/>
    <x v="0"/>
    <n v="45"/>
    <n v="-14"/>
    <x v="0"/>
  </r>
  <r>
    <n v="54"/>
    <n v="1649781"/>
    <n v="1263160"/>
    <s v="كينج سونا "/>
    <s v="شخص"/>
    <x v="18"/>
    <m/>
    <x v="0"/>
    <x v="1"/>
    <s v="رف سحاب"/>
    <m/>
    <m/>
    <x v="3"/>
    <m/>
    <s v="تربيزه قهوه مرتفعه برف سحاب "/>
    <n v="8349"/>
    <s v="مسبق الدفع "/>
    <d v="2024-09-14T00:00:00"/>
    <d v="2024-10-29T00:00:00"/>
    <d v="2024-10-19T00:00:00"/>
    <s v="تم التسليم محمود على "/>
    <x v="0"/>
    <n v="45"/>
    <n v="-10"/>
    <x v="0"/>
  </r>
  <r>
    <n v="55"/>
    <n v="1681476"/>
    <n v="1271813"/>
    <s v="احمد خالد "/>
    <s v="شخص"/>
    <x v="23"/>
    <m/>
    <x v="0"/>
    <x v="0"/>
    <s v="فردى"/>
    <s v="فورجينا"/>
    <n v="120"/>
    <x v="0"/>
    <m/>
    <s v=" ٢. سرير فورجينا ابيض مقاس ١٢٠"/>
    <n v="17886"/>
    <s v="مسبق الدفع "/>
    <d v="2024-09-14T00:00:00"/>
    <d v="2024-10-29T00:00:00"/>
    <m/>
    <m/>
    <x v="1"/>
    <n v="45"/>
    <n v="-45594"/>
    <x v="0"/>
  </r>
  <r>
    <n v="56"/>
    <n v="1681477"/>
    <n v="1271813"/>
    <s v="احمد خالد "/>
    <s v="شخص"/>
    <x v="23"/>
    <m/>
    <x v="0"/>
    <x v="0"/>
    <s v="فردى"/>
    <s v="فورجينا"/>
    <n v="120"/>
    <x v="0"/>
    <m/>
    <s v=" ٢. سرير فورجينا ابيض مقاس ١٢٠"/>
    <n v="17886"/>
    <s v="مسبق الدفع "/>
    <d v="2024-09-14T00:00:00"/>
    <d v="2024-10-29T00:00:00"/>
    <m/>
    <m/>
    <x v="1"/>
    <n v="45"/>
    <n v="-45594"/>
    <x v="0"/>
  </r>
  <r>
    <n v="57"/>
    <n v="1677530"/>
    <n v="1270704"/>
    <s v="ساره"/>
    <s v="شخص"/>
    <x v="11"/>
    <m/>
    <x v="0"/>
    <x v="0"/>
    <s v="فردى"/>
    <s v="اسبانى"/>
    <n v="120"/>
    <x v="0"/>
    <m/>
    <s v="   ٢. سرير اسبانى ابيض ١٢٠"/>
    <n v="10987"/>
    <s v="مسبق الدفع"/>
    <d v="2024-09-14T00:00:00"/>
    <d v="2024-10-29T00:00:00"/>
    <d v="2024-10-13T00:00:00"/>
    <s v="تم التسليم محمود على "/>
    <x v="0"/>
    <n v="45"/>
    <n v="-16"/>
    <x v="0"/>
  </r>
  <r>
    <n v="58"/>
    <n v="1677528"/>
    <n v="1270704"/>
    <s v="ساره"/>
    <s v="شخص"/>
    <x v="11"/>
    <m/>
    <x v="0"/>
    <x v="0"/>
    <s v="فردى"/>
    <s v="اسبانى"/>
    <n v="120"/>
    <x v="0"/>
    <m/>
    <s v="   ٢. سرير اسبانى ابيض ١٢٠"/>
    <n v="10987"/>
    <s v="مسبق الدفع"/>
    <d v="2024-09-14T00:00:00"/>
    <d v="2024-10-29T00:00:00"/>
    <d v="2024-10-13T00:00:00"/>
    <s v="تم التسليم محمود على "/>
    <x v="0"/>
    <n v="45"/>
    <n v="-16"/>
    <x v="0"/>
  </r>
  <r>
    <n v="59"/>
    <n v="1657744"/>
    <n v="1265268"/>
    <s v="احمد ايمن "/>
    <s v="شخص"/>
    <x v="24"/>
    <m/>
    <x v="0"/>
    <x v="1"/>
    <s v="2 ميكانزم"/>
    <m/>
    <m/>
    <x v="3"/>
    <m/>
    <s v="ترابيزه قهوه علويه جديده "/>
    <n v="10319"/>
    <s v="مسبق الدفع"/>
    <d v="2024-09-14T00:00:00"/>
    <d v="2024-10-29T00:00:00"/>
    <d v="2024-10-19T00:00:00"/>
    <s v="تم التسليم محمود على "/>
    <x v="0"/>
    <n v="45"/>
    <n v="-10"/>
    <x v="0"/>
  </r>
  <r>
    <n v="60"/>
    <n v="1610613"/>
    <n v="1253646"/>
    <s v="مصطفي غنيم "/>
    <s v="شخص"/>
    <x v="25"/>
    <m/>
    <x v="0"/>
    <x v="0"/>
    <s v="دورين"/>
    <s v="كيفنج"/>
    <n v="120"/>
    <x v="4"/>
    <m/>
    <s v="سرير كيفنج دورين مقاس ١٢٠ رمادى "/>
    <n v="12999"/>
    <s v="مسبق الدفع "/>
    <d v="2024-09-14T00:00:00"/>
    <d v="2024-11-20T00:00:00"/>
    <d v="2024-10-17T00:00:00"/>
    <s v="تم التسليم عن طريق شركه شحن "/>
    <x v="0"/>
    <n v="67"/>
    <n v="-34"/>
    <x v="0"/>
  </r>
  <r>
    <n v="61"/>
    <n v="1608468"/>
    <n v="1253172"/>
    <s v="حسام عبدون"/>
    <s v="شخص"/>
    <x v="3"/>
    <m/>
    <x v="0"/>
    <x v="2"/>
    <s v="4*1"/>
    <m/>
    <m/>
    <x v="1"/>
    <s v="رمادى"/>
    <s v="كنبه سرير ٤ حركه "/>
    <n v="21999"/>
    <s v="مسبق الدفع"/>
    <d v="2024-09-14T00:00:00"/>
    <d v="2024-11-20T00:00:00"/>
    <m/>
    <m/>
    <x v="1"/>
    <n v="67"/>
    <n v="-45616"/>
    <x v="0"/>
  </r>
  <r>
    <n v="62"/>
    <n v="1654554"/>
    <n v="1264469"/>
    <s v="رامى "/>
    <s v="شخص"/>
    <x v="18"/>
    <m/>
    <x v="0"/>
    <x v="0"/>
    <s v="دورين"/>
    <s v="نوفال"/>
    <n v="100"/>
    <x v="4"/>
    <m/>
    <s v="سرير نوفال ١٠٠ رمادى "/>
    <n v="12399"/>
    <s v="مسبق الدفع"/>
    <d v="2024-09-14T00:00:00"/>
    <d v="2024-11-20T00:00:00"/>
    <d v="2024-10-01T00:00:00"/>
    <s v="تم التسليم عن طريق شركه شحن "/>
    <x v="0"/>
    <n v="67"/>
    <n v="-50"/>
    <x v="0"/>
  </r>
  <r>
    <n v="63"/>
    <n v="1644504"/>
    <n v="1261644"/>
    <s v="رحاب"/>
    <s v="شخص"/>
    <x v="11"/>
    <m/>
    <x v="0"/>
    <x v="2"/>
    <s v="4*1"/>
    <m/>
    <m/>
    <x v="1"/>
    <s v="رمادى"/>
    <s v="كنبه سرير ٤ حركه "/>
    <n v="21999"/>
    <s v="مسبق الدفع"/>
    <d v="2024-09-14T00:00:00"/>
    <d v="2024-11-20T00:00:00"/>
    <d v="2024-10-09T00:00:00"/>
    <s v="تم التسليم محمود على "/>
    <x v="0"/>
    <n v="67"/>
    <n v="-42"/>
    <x v="0"/>
  </r>
  <r>
    <n v="64"/>
    <n v="1655447"/>
    <n v="1264684"/>
    <s v="فؤاد المنسي "/>
    <s v="شخص"/>
    <x v="9"/>
    <m/>
    <x v="0"/>
    <x v="0"/>
    <s v="دورين"/>
    <s v="نوفال"/>
    <n v="80"/>
    <x v="0"/>
    <m/>
    <s v="سرير نوفال مقاس ٨٠ ابيض "/>
    <n v="10999"/>
    <s v="مسبق الدفع "/>
    <d v="2024-09-14T00:00:00"/>
    <d v="2024-11-20T00:00:00"/>
    <d v="2024-10-16T00:00:00"/>
    <s v="تم التسليم محمود على "/>
    <x v="0"/>
    <n v="67"/>
    <n v="-35"/>
    <x v="0"/>
  </r>
  <r>
    <n v="65"/>
    <n v="1679731"/>
    <n v="1271291"/>
    <s v="mohannad"/>
    <s v="شخص"/>
    <x v="26"/>
    <m/>
    <x v="0"/>
    <x v="0"/>
    <s v="دورين"/>
    <s v="كيفنج"/>
    <n v="80"/>
    <x v="0"/>
    <m/>
    <m/>
    <n v="10999"/>
    <s v="مسبق الدفع "/>
    <s v="15/9/2024"/>
    <d v="2024-11-20T00:00:00"/>
    <d v="2024-10-16T00:00:00"/>
    <s v="تم التسليم محمود على "/>
    <x v="0"/>
    <n v="66"/>
    <n v="-35"/>
    <x v="0"/>
  </r>
  <r>
    <n v="66"/>
    <n v="1679739"/>
    <n v="1271291"/>
    <s v="mohannad"/>
    <s v="شخص"/>
    <x v="26"/>
    <m/>
    <x v="0"/>
    <x v="0"/>
    <s v="دورين"/>
    <s v="كيفنج"/>
    <n v="80"/>
    <x v="0"/>
    <m/>
    <m/>
    <n v="10999"/>
    <s v="مسبق الدفع "/>
    <s v="15/9/2024"/>
    <d v="2024-11-20T00:00:00"/>
    <d v="2024-10-16T00:00:00"/>
    <s v="تم التسليم محمود على "/>
    <x v="0"/>
    <n v="66"/>
    <n v="-35"/>
    <x v="0"/>
  </r>
  <r>
    <n v="67"/>
    <n v="1670668"/>
    <n v="1268695"/>
    <s v="Mohamed Ayman"/>
    <s v="شخص"/>
    <x v="27"/>
    <m/>
    <x v="0"/>
    <x v="2"/>
    <s v="4*1"/>
    <m/>
    <m/>
    <x v="1"/>
    <s v="رمادى"/>
    <m/>
    <n v="21999"/>
    <s v="مسبق الدفع "/>
    <s v="15/9/2024"/>
    <d v="2024-11-20T00:00:00"/>
    <d v="2024-10-19T00:00:00"/>
    <s v="تم التسليم محمود على "/>
    <x v="0"/>
    <n v="66"/>
    <n v="-32"/>
    <x v="0"/>
  </r>
  <r>
    <n v="68"/>
    <n v="1416625"/>
    <n v="1205197"/>
    <s v="اسامه"/>
    <s v="شخص"/>
    <x v="14"/>
    <m/>
    <x v="0"/>
    <x v="1"/>
    <s v="2 ميكانزم"/>
    <m/>
    <m/>
    <x v="3"/>
    <m/>
    <m/>
    <n v="7849"/>
    <n v="6306"/>
    <s v="16/9/2024"/>
    <d v="2024-10-30T00:00:00"/>
    <d v="2024-11-14T00:00:00"/>
    <s v="تم التسليم عن طريق شركه شحن "/>
    <x v="0"/>
    <n v="44"/>
    <n v="15"/>
    <x v="2"/>
  </r>
  <r>
    <n v="69"/>
    <m/>
    <m/>
    <s v="اوسكار راتن"/>
    <s v="شركة"/>
    <x v="28"/>
    <m/>
    <x v="4"/>
    <x v="0"/>
    <s v="دورين"/>
    <s v="كيفنج"/>
    <n v="80"/>
    <x v="0"/>
    <m/>
    <m/>
    <n v="5074"/>
    <s v="حساب شركه"/>
    <d v="2024-09-21T00:00:00"/>
    <d v="2024-10-05T00:00:00"/>
    <d v="2024-10-12T00:00:00"/>
    <s v="تم التسليم محمود على "/>
    <x v="0"/>
    <n v="14"/>
    <n v="7"/>
    <x v="2"/>
  </r>
  <r>
    <n v="70"/>
    <n v="2514"/>
    <n v="2514"/>
    <s v="تاكى "/>
    <s v="شركة"/>
    <x v="7"/>
    <m/>
    <x v="3"/>
    <x v="0"/>
    <s v="دورين"/>
    <s v="كينج"/>
    <n v="100"/>
    <x v="8"/>
    <m/>
    <m/>
    <n v="6250"/>
    <s v="حساب شركه"/>
    <d v="2024-09-23T00:00:00"/>
    <d v="2024-10-08T00:00:00"/>
    <d v="2024-10-17T00:00:00"/>
    <s v="تم التسليم محمود على "/>
    <x v="0"/>
    <n v="15"/>
    <n v="9"/>
    <x v="2"/>
  </r>
  <r>
    <n v="71"/>
    <n v="2514"/>
    <n v="2514"/>
    <s v="تاكى "/>
    <s v="شركة"/>
    <x v="7"/>
    <m/>
    <x v="3"/>
    <x v="0"/>
    <s v="دورين"/>
    <s v="كينج"/>
    <n v="100"/>
    <x v="8"/>
    <m/>
    <m/>
    <n v="6250"/>
    <s v="حساب شركه"/>
    <d v="2024-09-23T00:00:00"/>
    <d v="2024-10-08T00:00:00"/>
    <d v="2024-10-17T00:00:00"/>
    <s v="تم التسليم محمود على "/>
    <x v="0"/>
    <n v="15"/>
    <n v="9"/>
    <x v="2"/>
  </r>
  <r>
    <n v="72"/>
    <n v="1706794"/>
    <n v="1281428"/>
    <s v="ولاء بدوى"/>
    <s v="شخص"/>
    <x v="7"/>
    <m/>
    <x v="0"/>
    <x v="0"/>
    <s v="فردى"/>
    <s v="فورجينا"/>
    <n v="120"/>
    <x v="0"/>
    <m/>
    <m/>
    <n v="8943"/>
    <n v="9033"/>
    <d v="2024-09-26T00:00:00"/>
    <d v="2024-11-10T00:00:00"/>
    <d v="2024-10-10T00:00:00"/>
    <s v="تم التسليم محمود على "/>
    <x v="0"/>
    <n v="45"/>
    <n v="-31"/>
    <x v="0"/>
  </r>
  <r>
    <n v="73"/>
    <n v="1704621"/>
    <n v="1280197"/>
    <s v="عبد الرحمن يسري"/>
    <s v="شخص"/>
    <x v="29"/>
    <m/>
    <x v="0"/>
    <x v="1"/>
    <s v="رف سحاب"/>
    <m/>
    <m/>
    <x v="3"/>
    <m/>
    <m/>
    <n v="8349"/>
    <n v="8433"/>
    <d v="2024-09-26T00:00:00"/>
    <d v="2024-11-10T00:00:00"/>
    <m/>
    <m/>
    <x v="1"/>
    <n v="45"/>
    <n v="-45606"/>
    <x v="0"/>
  </r>
  <r>
    <n v="74"/>
    <n v="240078066"/>
    <m/>
    <s v="شيك هومز "/>
    <s v="شركة"/>
    <x v="4"/>
    <m/>
    <x v="1"/>
    <x v="2"/>
    <s v="4×1"/>
    <m/>
    <m/>
    <x v="9"/>
    <s v="نبيتى "/>
    <m/>
    <n v="14950"/>
    <s v="مسبق الدفع"/>
    <d v="2024-09-26T00:00:00"/>
    <d v="2024-10-14T00:00:00"/>
    <d v="2024-10-13T00:00:00"/>
    <s v="تم التسليم محمود على "/>
    <x v="0"/>
    <n v="18"/>
    <n v="-1"/>
    <x v="0"/>
  </r>
  <r>
    <n v="75"/>
    <n v="240077789"/>
    <m/>
    <s v="شيك هومز "/>
    <s v="شركة"/>
    <x v="4"/>
    <m/>
    <x v="1"/>
    <x v="0"/>
    <s v="دورين"/>
    <s v="كينج"/>
    <n v="100"/>
    <x v="3"/>
    <m/>
    <m/>
    <n v="9208"/>
    <n v="9608"/>
    <d v="2024-09-26T00:00:00"/>
    <d v="2024-10-14T00:00:00"/>
    <m/>
    <m/>
    <x v="1"/>
    <n v="18"/>
    <n v="-45579"/>
    <x v="0"/>
  </r>
  <r>
    <n v="76"/>
    <n v="240078390"/>
    <m/>
    <s v="شيك هومز "/>
    <s v="شركة"/>
    <x v="4"/>
    <m/>
    <x v="1"/>
    <x v="0"/>
    <s v="فردى"/>
    <s v="اسبانى"/>
    <n v="120"/>
    <x v="0"/>
    <m/>
    <m/>
    <n v="7433"/>
    <s v="مسبق الدفع"/>
    <d v="2024-09-29T00:00:00"/>
    <d v="2024-10-20T00:00:00"/>
    <d v="2024-10-21T00:00:00"/>
    <s v="تم التسليم محمود على "/>
    <x v="0"/>
    <n v="21"/>
    <n v="1"/>
    <x v="0"/>
  </r>
  <r>
    <n v="77"/>
    <m/>
    <m/>
    <s v="اوسكار راتن"/>
    <s v="شركة"/>
    <x v="28"/>
    <m/>
    <x v="4"/>
    <x v="0"/>
    <s v="فردى"/>
    <s v="فورجينا"/>
    <n v="120"/>
    <x v="0"/>
    <m/>
    <m/>
    <n v="4020"/>
    <s v="حساب شركه"/>
    <d v="2024-09-29T00:00:00"/>
    <d v="2024-10-12T00:00:00"/>
    <d v="2024-10-12T00:00:00"/>
    <s v="تم التسليم محمود على "/>
    <x v="0"/>
    <n v="13"/>
    <n v="0"/>
    <x v="0"/>
  </r>
  <r>
    <n v="78"/>
    <m/>
    <m/>
    <s v="الحج محمد السويس"/>
    <s v="شخص"/>
    <x v="30"/>
    <m/>
    <x v="5"/>
    <x v="0"/>
    <s v="دورين"/>
    <s v="فانتاستك"/>
    <n v="100"/>
    <x v="10"/>
    <m/>
    <m/>
    <n v="8544.9054400000005"/>
    <m/>
    <d v="2024-10-01T00:00:00"/>
    <d v="2024-10-09T00:00:00"/>
    <d v="2024-10-09T00:00:00"/>
    <s v="تم التسليم بمعرفه الحج سيد "/>
    <x v="0"/>
    <n v="8"/>
    <n v="0"/>
    <x v="0"/>
  </r>
  <r>
    <n v="79"/>
    <m/>
    <m/>
    <s v="الحج محمد السويس"/>
    <s v="شخص"/>
    <x v="30"/>
    <m/>
    <x v="5"/>
    <x v="0"/>
    <s v="منطبق"/>
    <m/>
    <m/>
    <x v="11"/>
    <s v="بيج"/>
    <m/>
    <n v="4600"/>
    <m/>
    <d v="2024-10-01T00:00:00"/>
    <d v="2024-10-09T00:00:00"/>
    <d v="2024-10-09T00:00:00"/>
    <s v="تم التسليم بمعرفه الحج سيد "/>
    <x v="0"/>
    <n v="8"/>
    <n v="0"/>
    <x v="0"/>
  </r>
  <r>
    <n v="80"/>
    <m/>
    <m/>
    <s v="الحج محمد السويس"/>
    <s v="شخص"/>
    <x v="30"/>
    <m/>
    <x v="5"/>
    <x v="2"/>
    <s v="فنيسيا"/>
    <m/>
    <m/>
    <x v="1"/>
    <s v="رصاصي مشجر"/>
    <m/>
    <n v="10000"/>
    <m/>
    <d v="2024-10-01T00:00:00"/>
    <d v="2024-10-09T00:00:00"/>
    <d v="2024-10-09T00:00:00"/>
    <s v="تم التسليم بمعرفه الحج سيد "/>
    <x v="0"/>
    <n v="8"/>
    <n v="0"/>
    <x v="0"/>
  </r>
  <r>
    <n v="82"/>
    <n v="1282228"/>
    <n v="1708226"/>
    <s v="عمرو الأسود"/>
    <s v="شخص"/>
    <x v="31"/>
    <m/>
    <x v="0"/>
    <x v="0"/>
    <s v="منطبق"/>
    <m/>
    <m/>
    <x v="1"/>
    <s v="اسود"/>
    <m/>
    <n v="8899"/>
    <n v="8988"/>
    <d v="2024-10-03T00:00:00"/>
    <d v="2024-11-17T00:00:00"/>
    <m/>
    <m/>
    <x v="0"/>
    <n v="45"/>
    <n v="-45613"/>
    <x v="0"/>
  </r>
  <r>
    <n v="83"/>
    <n v="240079328"/>
    <m/>
    <s v="شيك هومز "/>
    <s v="شركة"/>
    <x v="4"/>
    <m/>
    <x v="1"/>
    <x v="2"/>
    <s v="4×1"/>
    <m/>
    <m/>
    <x v="3"/>
    <s v="بترولى "/>
    <m/>
    <n v="14550"/>
    <s v="مسبق الدفع"/>
    <d v="2024-10-08T00:00:00"/>
    <d v="2024-10-29T00:00:00"/>
    <d v="2024-10-30T00:00:00"/>
    <s v="تم التسليم محمود على "/>
    <x v="0"/>
    <n v="21"/>
    <n v="1"/>
    <x v="0"/>
  </r>
  <r>
    <n v="84"/>
    <n v="240078933"/>
    <m/>
    <s v="شيك هومز "/>
    <s v="شركة"/>
    <x v="29"/>
    <m/>
    <x v="1"/>
    <x v="2"/>
    <s v="4×1"/>
    <m/>
    <m/>
    <x v="3"/>
    <s v="بترولى "/>
    <m/>
    <n v="14550"/>
    <s v="مسبق الدفع"/>
    <d v="2024-10-07T00:00:00"/>
    <d v="2024-10-29T00:00:00"/>
    <d v="2024-10-15T00:00:00"/>
    <s v="تم التسليم محمود على "/>
    <x v="0"/>
    <n v="22"/>
    <n v="-14"/>
    <x v="0"/>
  </r>
  <r>
    <n v="85"/>
    <n v="240079517"/>
    <m/>
    <s v="شيك هومز "/>
    <s v="شركة"/>
    <x v="4"/>
    <m/>
    <x v="1"/>
    <x v="2"/>
    <s v="4×1"/>
    <m/>
    <m/>
    <x v="3"/>
    <s v="نبيتى "/>
    <m/>
    <n v="14550"/>
    <n v="11495"/>
    <d v="2024-10-10T00:00:00"/>
    <d v="2024-10-31T00:00:00"/>
    <d v="2024-11-02T00:00:00"/>
    <s v="تم التسليم محمود على "/>
    <x v="0"/>
    <n v="21"/>
    <n v="2"/>
    <x v="0"/>
  </r>
  <r>
    <n v="86"/>
    <n v="1714623"/>
    <n v="1284697"/>
    <s v="keira"/>
    <s v="شركة"/>
    <x v="11"/>
    <m/>
    <x v="0"/>
    <x v="0"/>
    <s v="دورين"/>
    <s v="نوفال "/>
    <s v="١٤٠/١٠٠"/>
    <x v="12"/>
    <m/>
    <m/>
    <n v="12899"/>
    <n v="13028"/>
    <d v="2024-10-13T00:00:00"/>
    <d v="2024-12-17T00:00:00"/>
    <d v="2024-11-02T00:00:00"/>
    <s v="تم التسليم محمود على "/>
    <x v="0"/>
    <n v="65"/>
    <n v="-45"/>
    <x v="0"/>
  </r>
  <r>
    <n v="87"/>
    <n v="1715473"/>
    <n v="1285152"/>
    <s v="tarek"/>
    <s v="شخص"/>
    <x v="8"/>
    <m/>
    <x v="0"/>
    <x v="0"/>
    <s v="دورين"/>
    <s v="كيفنج"/>
    <n v="80"/>
    <x v="0"/>
    <m/>
    <m/>
    <n v="10499"/>
    <s v="مسبق الدفع"/>
    <d v="2024-10-16T00:00:00"/>
    <d v="2024-12-19T00:00:00"/>
    <d v="2024-10-21T00:00:00"/>
    <s v="تم التسليم محمود على "/>
    <x v="0"/>
    <n v="64"/>
    <n v="-59"/>
    <x v="0"/>
  </r>
  <r>
    <n v="89"/>
    <n v="1715992"/>
    <n v="1285423"/>
    <s v="reem"/>
    <s v="شخص"/>
    <x v="32"/>
    <m/>
    <x v="0"/>
    <x v="0"/>
    <s v="دورين"/>
    <s v="نوفال"/>
    <s v="١٠٠/١٤٠"/>
    <x v="12"/>
    <m/>
    <m/>
    <n v="12899"/>
    <s v="مسبق الدفع"/>
    <d v="2024-10-17T00:00:00"/>
    <d v="2024-12-22T00:00:00"/>
    <d v="2024-12-03T00:00:00"/>
    <s v="تم التسليم عن طريق شركه شحن "/>
    <x v="0"/>
    <n v="66"/>
    <n v="-19"/>
    <x v="0"/>
  </r>
  <r>
    <n v="90"/>
    <s v="s03163"/>
    <m/>
    <s v="هشام سامى"/>
    <s v="شخص"/>
    <x v="33"/>
    <n v="1211691428"/>
    <x v="6"/>
    <x v="0"/>
    <s v="فردى"/>
    <s v="بلحه"/>
    <n v="140"/>
    <x v="9"/>
    <s v="خشب بنى فاتح"/>
    <m/>
    <n v="5135"/>
    <s v="مسبق الدفع"/>
    <d v="2024-10-20T00:00:00"/>
    <d v="2024-11-17T00:00:00"/>
    <d v="2024-11-14T00:00:00"/>
    <s v="تم التسليم محمود على "/>
    <x v="0"/>
    <n v="28"/>
    <n v="-3"/>
    <x v="0"/>
  </r>
  <r>
    <n v="91"/>
    <n v="240080607"/>
    <m/>
    <s v="شيك هومز "/>
    <s v="شركة"/>
    <x v="29"/>
    <m/>
    <x v="1"/>
    <x v="0"/>
    <s v="دورين"/>
    <s v="فانتستيك"/>
    <n v="100"/>
    <x v="5"/>
    <m/>
    <m/>
    <n v="12777.5"/>
    <n v="11277.5"/>
    <d v="2024-10-22T00:00:00"/>
    <d v="2024-11-12T00:00:00"/>
    <d v="2024-11-18T00:00:00"/>
    <s v="تم التسليم محمود على "/>
    <x v="0"/>
    <n v="21"/>
    <n v="6"/>
    <x v="2"/>
  </r>
  <r>
    <n v="92"/>
    <n v="240080607"/>
    <m/>
    <s v="شيك هومز "/>
    <s v="شركة"/>
    <x v="29"/>
    <m/>
    <x v="1"/>
    <x v="0"/>
    <s v="دورين"/>
    <s v="فانتستيك"/>
    <n v="100"/>
    <x v="5"/>
    <m/>
    <m/>
    <n v="12777.5"/>
    <n v="11277.5"/>
    <d v="2024-10-22T00:00:00"/>
    <d v="2024-11-12T00:00:00"/>
    <d v="2024-11-18T00:00:00"/>
    <s v="تم التسليم محمود على "/>
    <x v="0"/>
    <n v="21"/>
    <n v="6"/>
    <x v="2"/>
  </r>
  <r>
    <n v="93"/>
    <m/>
    <m/>
    <s v="اوسكار راتن"/>
    <s v="شركة"/>
    <x v="34"/>
    <m/>
    <x v="4"/>
    <x v="0"/>
    <s v="دورين"/>
    <s v="فانتستيك"/>
    <n v="100"/>
    <x v="5"/>
    <m/>
    <m/>
    <n v="8544.91"/>
    <s v="حساب شركه"/>
    <d v="2024-10-22T00:00:00"/>
    <s v="الغاء"/>
    <m/>
    <m/>
    <x v="1"/>
    <e v="#VALUE!"/>
    <e v="#VALUE!"/>
    <x v="1"/>
  </r>
  <r>
    <n v="94"/>
    <n v="1717458"/>
    <n v="1286189"/>
    <s v="فاطمه محمد"/>
    <s v="شخص"/>
    <x v="29"/>
    <m/>
    <x v="0"/>
    <x v="0"/>
    <s v="فردى"/>
    <s v="فورجينا"/>
    <n v="120"/>
    <x v="0"/>
    <m/>
    <m/>
    <n v="8943"/>
    <n v="9007.01"/>
    <d v="2024-10-21T00:00:00"/>
    <d v="2024-11-14T00:00:00"/>
    <d v="2024-11-18T00:00:00"/>
    <s v="تم التسليم محمود على "/>
    <x v="0"/>
    <n v="24"/>
    <n v="4"/>
    <x v="2"/>
  </r>
  <r>
    <n v="95"/>
    <n v="240080858"/>
    <m/>
    <s v="شيك هومز "/>
    <s v="شركة"/>
    <x v="4"/>
    <m/>
    <x v="1"/>
    <x v="2"/>
    <s v="4×1"/>
    <m/>
    <m/>
    <x v="1"/>
    <m/>
    <m/>
    <n v="15516"/>
    <s v="مسبق الدفع"/>
    <d v="2024-10-24T00:00:00"/>
    <d v="2024-11-14T00:00:00"/>
    <d v="2024-10-30T00:00:00"/>
    <s v="تم التسليم محمود على "/>
    <x v="0"/>
    <n v="21"/>
    <n v="-15"/>
    <x v="0"/>
  </r>
  <r>
    <n v="96"/>
    <n v="240081061"/>
    <m/>
    <s v="شيك هومز "/>
    <s v="شركة"/>
    <x v="4"/>
    <m/>
    <x v="1"/>
    <x v="0"/>
    <s v="دورين"/>
    <s v="كينج"/>
    <n v="100"/>
    <x v="1"/>
    <m/>
    <m/>
    <n v="10045"/>
    <n v="8879"/>
    <d v="2024-10-26T00:00:00"/>
    <d v="2024-11-16T00:00:00"/>
    <m/>
    <m/>
    <x v="1"/>
    <n v="21"/>
    <n v="-45612"/>
    <x v="0"/>
  </r>
  <r>
    <n v="97"/>
    <n v="1718948"/>
    <n v="1286883"/>
    <s v="ساره"/>
    <s v="شخص"/>
    <x v="22"/>
    <m/>
    <x v="0"/>
    <x v="0"/>
    <s v="دورين"/>
    <s v="كينج"/>
    <n v="90"/>
    <x v="1"/>
    <m/>
    <m/>
    <n v="11649"/>
    <n v="11749"/>
    <d v="2024-10-26T00:00:00"/>
    <d v="2024-11-10T00:00:00"/>
    <d v="2024-11-18T00:00:00"/>
    <s v="تم التسليم محمود على "/>
    <x v="0"/>
    <n v="15"/>
    <n v="8"/>
    <x v="2"/>
  </r>
  <r>
    <n v="98"/>
    <n v="1718949"/>
    <n v="1286883"/>
    <s v="ساره"/>
    <s v="شخص"/>
    <x v="22"/>
    <m/>
    <x v="0"/>
    <x v="0"/>
    <s v="دورين"/>
    <s v="كينج"/>
    <n v="90"/>
    <x v="1"/>
    <m/>
    <m/>
    <n v="11649"/>
    <n v="11749"/>
    <d v="2024-10-26T00:00:00"/>
    <d v="2024-11-10T00:00:00"/>
    <d v="2024-11-18T00:00:00"/>
    <s v="تم التسليم محمود على "/>
    <x v="0"/>
    <n v="15"/>
    <n v="8"/>
    <x v="2"/>
  </r>
  <r>
    <n v="99"/>
    <m/>
    <m/>
    <s v="بولا هومزمارت"/>
    <s v="شركة"/>
    <x v="12"/>
    <m/>
    <x v="7"/>
    <x v="0"/>
    <s v="فردى"/>
    <s v="اسبانى"/>
    <n v="100"/>
    <x v="0"/>
    <m/>
    <m/>
    <n v="5100"/>
    <n v="4800"/>
    <d v="2024-10-28T00:00:00"/>
    <d v="2024-11-11T00:00:00"/>
    <d v="2024-11-21T00:00:00"/>
    <s v="تم التسليم محمود على "/>
    <x v="0"/>
    <n v="14"/>
    <n v="10"/>
    <x v="2"/>
  </r>
  <r>
    <n v="100"/>
    <m/>
    <m/>
    <s v="بولا هومزمارت"/>
    <s v="شركة"/>
    <x v="12"/>
    <m/>
    <x v="7"/>
    <x v="0"/>
    <s v="فردى"/>
    <s v="اسبانى"/>
    <n v="120"/>
    <x v="0"/>
    <m/>
    <m/>
    <n v="5300"/>
    <n v="4800"/>
    <d v="2024-10-28T00:00:00"/>
    <d v="2024-11-11T00:00:00"/>
    <d v="2024-11-21T00:00:00"/>
    <s v="تم التسليم محمود على "/>
    <x v="0"/>
    <n v="14"/>
    <n v="10"/>
    <x v="2"/>
  </r>
  <r>
    <n v="101"/>
    <n v="1744766"/>
    <n v="1298738"/>
    <s v="محمد شكرى "/>
    <s v="شخص"/>
    <x v="35"/>
    <m/>
    <x v="0"/>
    <x v="0"/>
    <s v="دورين"/>
    <s v="كيفنج"/>
    <n v="80"/>
    <x v="0"/>
    <m/>
    <m/>
    <n v="12099"/>
    <s v="مسبق الدفع"/>
    <d v="2024-11-11T00:00:00"/>
    <d v="2024-11-26T00:00:00"/>
    <d v="2024-11-27T00:00:00"/>
    <s v="تم التسليم محمود على "/>
    <x v="0"/>
    <n v="15"/>
    <n v="1"/>
    <x v="0"/>
  </r>
  <r>
    <n v="102"/>
    <n v="240082226"/>
    <m/>
    <s v="شيك هومز"/>
    <s v="شركة"/>
    <x v="4"/>
    <m/>
    <x v="1"/>
    <x v="2"/>
    <s v="4×1"/>
    <s v="ارينا"/>
    <m/>
    <x v="3"/>
    <s v="بترولى"/>
    <m/>
    <n v="15872"/>
    <s v="مسبق"/>
    <d v="2024-11-08T00:00:00"/>
    <d v="2024-12-03T00:00:00"/>
    <d v="2024-11-14T00:00:00"/>
    <s v="تم التسليم محمود على "/>
    <x v="0"/>
    <n v="25"/>
    <n v="-19"/>
    <x v="0"/>
  </r>
  <r>
    <n v="103"/>
    <s v="so3290"/>
    <m/>
    <s v="منزلى"/>
    <s v="شخص"/>
    <x v="5"/>
    <m/>
    <x v="6"/>
    <x v="0"/>
    <s v="فردى"/>
    <s v="فورجينا"/>
    <n v="120"/>
    <x v="0"/>
    <m/>
    <m/>
    <n v="4520"/>
    <s v="حساب شركه"/>
    <d v="2024-11-10T00:00:00"/>
    <d v="2024-11-22T00:00:00"/>
    <d v="2024-11-21T00:00:00"/>
    <s v="تم التسليم محمود على "/>
    <x v="0"/>
    <n v="12"/>
    <n v="-1"/>
    <x v="0"/>
  </r>
  <r>
    <n v="104"/>
    <s v="s_6725"/>
    <m/>
    <s v="اوسكار راتن"/>
    <s v="شركة"/>
    <x v="28"/>
    <m/>
    <x v="4"/>
    <x v="0"/>
    <s v="دورين"/>
    <s v="كينج"/>
    <n v="90"/>
    <x v="1"/>
    <m/>
    <m/>
    <n v="5766"/>
    <s v="حساب شركه"/>
    <d v="2024-11-12T00:00:00"/>
    <d v="2024-11-26T00:00:00"/>
    <d v="2024-11-25T00:00:00"/>
    <s v="تم التسليم محمود على "/>
    <x v="0"/>
    <n v="14"/>
    <n v="-1"/>
    <x v="0"/>
  </r>
  <r>
    <n v="105"/>
    <n v="1752544"/>
    <n v="1302011"/>
    <s v="حماده"/>
    <s v="شخص"/>
    <x v="12"/>
    <m/>
    <x v="0"/>
    <x v="0"/>
    <s v="فردى"/>
    <s v="فورجينا"/>
    <n v="160"/>
    <x v="7"/>
    <m/>
    <m/>
    <n v="11395"/>
    <s v="مسبق الدفع"/>
    <d v="2024-11-12T00:00:00"/>
    <d v="2024-11-24T00:00:00"/>
    <d v="2024-11-27T00:00:00"/>
    <s v="تم التسليم محمود على "/>
    <x v="0"/>
    <n v="12"/>
    <n v="3"/>
    <x v="2"/>
  </r>
  <r>
    <n v="106"/>
    <n v="1755075"/>
    <n v="1303159"/>
    <s v="صفاء عبد الباقي"/>
    <s v="شخص"/>
    <x v="5"/>
    <m/>
    <x v="0"/>
    <x v="0"/>
    <s v="دورين"/>
    <s v="كينج "/>
    <n v="80"/>
    <x v="0"/>
    <m/>
    <m/>
    <n v="12919"/>
    <s v="مسبق الدفع"/>
    <d v="2024-11-14T00:00:00"/>
    <d v="2024-11-30T00:00:00"/>
    <d v="2024-11-27T00:00:00"/>
    <s v="تم التسليم محمود على "/>
    <x v="0"/>
    <n v="16"/>
    <n v="-3"/>
    <x v="0"/>
  </r>
  <r>
    <n v="107"/>
    <s v="s_6806"/>
    <m/>
    <s v="اوسكار راتن"/>
    <s v="شركة"/>
    <x v="28"/>
    <m/>
    <x v="4"/>
    <x v="0"/>
    <s v="دورين"/>
    <s v="نوفال"/>
    <n v="120"/>
    <x v="4"/>
    <m/>
    <m/>
    <n v="6376"/>
    <s v="حساب شركه"/>
    <d v="2024-11-14T00:00:00"/>
    <d v="2024-11-27T00:00:00"/>
    <d v="2024-11-25T00:00:00"/>
    <s v="تم التسليم محمود على "/>
    <x v="0"/>
    <n v="13"/>
    <n v="-2"/>
    <x v="0"/>
  </r>
  <r>
    <n v="108"/>
    <s v="s-6626"/>
    <m/>
    <s v="اوسكار راتن"/>
    <s v="شركة"/>
    <x v="36"/>
    <m/>
    <x v="4"/>
    <x v="0"/>
    <s v="دورين "/>
    <s v="نوفال"/>
    <n v="90"/>
    <x v="1"/>
    <m/>
    <m/>
    <n v="5294"/>
    <s v="حساب شركه"/>
    <d v="2024-11-14T00:00:00"/>
    <d v="2024-11-27T00:00:00"/>
    <d v="2024-11-25T00:00:00"/>
    <s v="تم التسليم محمود على "/>
    <x v="0"/>
    <n v="13"/>
    <n v="-2"/>
    <x v="0"/>
  </r>
  <r>
    <n v="109"/>
    <n v="265453625"/>
    <m/>
    <s v="رندا العامرى "/>
    <s v="شخص"/>
    <x v="6"/>
    <n v="1277038843"/>
    <x v="8"/>
    <x v="0"/>
    <s v="دورين "/>
    <s v="كيفنج "/>
    <n v="80"/>
    <x v="0"/>
    <m/>
    <m/>
    <n v="7396"/>
    <s v="مسبق الدفع"/>
    <d v="2024-11-17T00:00:00"/>
    <d v="2024-11-28T00:00:00"/>
    <d v="2024-11-26T00:00:00"/>
    <s v="تم التسليم محمود على "/>
    <x v="0"/>
    <n v="11"/>
    <n v="-2"/>
    <x v="0"/>
  </r>
  <r>
    <n v="110"/>
    <n v="1762617"/>
    <n v="1306879"/>
    <s v="ساره"/>
    <s v="شخص"/>
    <x v="6"/>
    <m/>
    <x v="0"/>
    <x v="0"/>
    <s v="دورين"/>
    <s v="كينج"/>
    <n v="90"/>
    <x v="1"/>
    <m/>
    <m/>
    <n v="13439"/>
    <n v="13575"/>
    <d v="2024-11-20T00:00:00"/>
    <d v="2024-12-05T00:00:00"/>
    <d v="2024-11-26T00:00:00"/>
    <s v="تم التسليم محمود على "/>
    <x v="0"/>
    <n v="15"/>
    <n v="-9"/>
    <x v="0"/>
  </r>
  <r>
    <n v="111"/>
    <m/>
    <m/>
    <s v="تاكى "/>
    <s v="شركة"/>
    <x v="7"/>
    <m/>
    <x v="3"/>
    <x v="0"/>
    <s v="فردى "/>
    <s v="امريكى"/>
    <n v="160"/>
    <x v="1"/>
    <m/>
    <m/>
    <n v="5100"/>
    <s v="حساب شركه"/>
    <d v="2024-11-14T00:00:00"/>
    <d v="2024-12-08T00:00:00"/>
    <m/>
    <m/>
    <x v="0"/>
    <n v="24"/>
    <n v="-45634"/>
    <x v="0"/>
  </r>
  <r>
    <n v="112"/>
    <m/>
    <m/>
    <s v="محمد حمدى"/>
    <s v="شخص"/>
    <x v="8"/>
    <m/>
    <x v="2"/>
    <x v="0"/>
    <s v="فردى"/>
    <s v="كوين "/>
    <n v="160"/>
    <x v="6"/>
    <s v="ابيض"/>
    <m/>
    <n v="6000"/>
    <n v="5800"/>
    <d v="2024-11-22T00:00:00"/>
    <d v="2024-12-02T00:00:00"/>
    <d v="2024-11-27T00:00:00"/>
    <s v="تم التسليم محمود على "/>
    <x v="0"/>
    <n v="10"/>
    <n v="-5"/>
    <x v="0"/>
  </r>
  <r>
    <n v="113"/>
    <n v="1765451"/>
    <n v="1308241"/>
    <s v="بافلى هانى "/>
    <s v="شخص"/>
    <x v="37"/>
    <m/>
    <x v="0"/>
    <x v="0"/>
    <s v="فردى "/>
    <s v="اسبانى "/>
    <n v="120"/>
    <x v="4"/>
    <m/>
    <m/>
    <n v="10885"/>
    <n v="7965"/>
    <d v="2024-11-24T00:00:00"/>
    <d v="2024-12-05T00:00:00"/>
    <d v="2024-12-10T00:00:00"/>
    <s v="تم التسليم محمود على "/>
    <x v="0"/>
    <n v="11"/>
    <n v="5"/>
    <x v="2"/>
  </r>
  <r>
    <n v="114"/>
    <m/>
    <m/>
    <s v="تاكى "/>
    <s v="شركة"/>
    <x v="7"/>
    <m/>
    <x v="3"/>
    <x v="2"/>
    <s v="t1"/>
    <s v="t1"/>
    <m/>
    <x v="1"/>
    <m/>
    <m/>
    <n v="6000"/>
    <n v="6000"/>
    <d v="2024-11-19T00:00:00"/>
    <d v="2024-12-05T00:00:00"/>
    <d v="2024-11-20T00:00:00"/>
    <s v="تم التسليم م محمد "/>
    <x v="0"/>
    <n v="16"/>
    <n v="-15"/>
    <x v="0"/>
  </r>
  <r>
    <n v="115"/>
    <n v="1782674"/>
    <n v="1315860"/>
    <s v="رنا ميلاد"/>
    <s v="شخص"/>
    <x v="38"/>
    <m/>
    <x v="0"/>
    <x v="1"/>
    <m/>
    <s v="مكتبه"/>
    <m/>
    <x v="3"/>
    <m/>
    <m/>
    <n v="8449"/>
    <s v="مسبق الدفع"/>
    <d v="2024-11-27T00:00:00"/>
    <d v="2024-12-10T00:00:00"/>
    <d v="2024-12-23T00:00:00"/>
    <s v="تم التسليم عن طريق شركه شحن "/>
    <x v="0"/>
    <n v="13"/>
    <n v="13"/>
    <x v="2"/>
  </r>
  <r>
    <n v="116"/>
    <n v="1781530"/>
    <n v="1315450"/>
    <s v="محمد ناجى"/>
    <s v="شخص"/>
    <x v="10"/>
    <m/>
    <x v="0"/>
    <x v="1"/>
    <s v="دوران "/>
    <s v="ميكانزم"/>
    <m/>
    <x v="0"/>
    <s v="ابيض في بنى غامق"/>
    <m/>
    <n v="10249"/>
    <n v="6211"/>
    <d v="2024-11-27T00:00:00"/>
    <d v="2024-12-10T00:00:00"/>
    <d v="2024-12-19T00:00:00"/>
    <s v="تم التسليم محمود على "/>
    <x v="0"/>
    <n v="13"/>
    <n v="9"/>
    <x v="2"/>
  </r>
  <r>
    <n v="117"/>
    <n v="1795447"/>
    <n v="1321584"/>
    <s v="احمد عبد الستار"/>
    <s v="شخص"/>
    <x v="39"/>
    <m/>
    <x v="0"/>
    <x v="0"/>
    <s v="دورين"/>
    <s v="كيفنج"/>
    <n v="100"/>
    <x v="1"/>
    <m/>
    <m/>
    <n v="14905"/>
    <s v="مسبق الدفع"/>
    <d v="2024-11-29T00:00:00"/>
    <d v="2024-12-15T00:00:00"/>
    <m/>
    <s v="العميل رفض الاستلام"/>
    <x v="1"/>
    <n v="16"/>
    <n v="-45641"/>
    <x v="0"/>
  </r>
  <r>
    <n v="118"/>
    <n v="1808440"/>
    <n v="1327172"/>
    <s v="نور "/>
    <s v="شخص"/>
    <x v="11"/>
    <m/>
    <x v="0"/>
    <x v="1"/>
    <s v="دوران "/>
    <s v="ميكانزم"/>
    <m/>
    <x v="3"/>
    <s v="بنى غامق"/>
    <m/>
    <n v="10249"/>
    <s v="مسبق الدفع"/>
    <d v="2024-11-30T00:00:00"/>
    <d v="2024-12-12T00:00:00"/>
    <m/>
    <m/>
    <x v="1"/>
    <n v="12"/>
    <n v="-45638"/>
    <x v="0"/>
  </r>
  <r>
    <n v="119"/>
    <n v="1808441"/>
    <n v="1327172"/>
    <s v="نور"/>
    <s v="شخص"/>
    <x v="11"/>
    <m/>
    <x v="0"/>
    <x v="1"/>
    <s v="رف سحاب"/>
    <m/>
    <m/>
    <x v="1"/>
    <s v="بنى غامق "/>
    <m/>
    <n v="9029"/>
    <s v="مسبق الدفع"/>
    <d v="2024-11-30T00:00:00"/>
    <d v="2024-12-12T00:00:00"/>
    <m/>
    <m/>
    <x v="1"/>
    <n v="12"/>
    <n v="-45638"/>
    <x v="0"/>
  </r>
  <r>
    <n v="120"/>
    <n v="1805052"/>
    <n v="1325637"/>
    <s v="تامر"/>
    <s v="شخص"/>
    <x v="14"/>
    <m/>
    <x v="0"/>
    <x v="1"/>
    <s v="٢ ميكانزم"/>
    <m/>
    <m/>
    <x v="3"/>
    <s v="بيج "/>
    <m/>
    <n v="9029"/>
    <s v="مسبق الدفع"/>
    <d v="2024-11-30T00:00:00"/>
    <d v="2024-12-12T00:00:00"/>
    <m/>
    <m/>
    <x v="0"/>
    <n v="12"/>
    <n v="-45638"/>
    <x v="0"/>
  </r>
  <r>
    <n v="121"/>
    <n v="1813823"/>
    <n v="1329646"/>
    <s v="هناء اسامه"/>
    <s v="شخص"/>
    <x v="16"/>
    <m/>
    <x v="0"/>
    <x v="0"/>
    <s v="دورين "/>
    <s v="نوفال"/>
    <n v="80"/>
    <x v="0"/>
    <m/>
    <m/>
    <n v="12099"/>
    <s v="مسبق الدفع"/>
    <d v="2024-12-02T00:00:00"/>
    <d v="2024-12-17T00:00:00"/>
    <m/>
    <m/>
    <x v="1"/>
    <n v="15"/>
    <n v="-45643"/>
    <x v="0"/>
  </r>
  <r>
    <n v="122"/>
    <s v="s_7152"/>
    <m/>
    <s v="اوسكار راتن"/>
    <s v="شركة"/>
    <x v="28"/>
    <m/>
    <x v="4"/>
    <x v="0"/>
    <s v="دورين "/>
    <s v="كيفنج "/>
    <n v="90"/>
    <x v="2"/>
    <m/>
    <m/>
    <n v="5217"/>
    <s v="حساب شركه"/>
    <d v="2024-12-01T00:00:00"/>
    <d v="2024-12-14T00:00:00"/>
    <d v="2024-12-10T00:00:00"/>
    <s v="تم التسليم محمود على "/>
    <x v="0"/>
    <n v="13"/>
    <n v="-4"/>
    <x v="0"/>
  </r>
  <r>
    <n v="123"/>
    <n v="1810950"/>
    <n v="1328141"/>
    <s v="محمد عادل "/>
    <s v="شخص"/>
    <x v="24"/>
    <m/>
    <x v="0"/>
    <x v="0"/>
    <s v="منطبق"/>
    <m/>
    <m/>
    <x v="1"/>
    <s v="اسود"/>
    <m/>
    <n v="10249"/>
    <n v="6211"/>
    <d v="2024-12-04T00:00:00"/>
    <d v="2024-12-14T00:00:00"/>
    <d v="2024-12-19T00:00:00"/>
    <s v="تم التسليم محمود على "/>
    <x v="0"/>
    <n v="10"/>
    <n v="5"/>
    <x v="2"/>
  </r>
  <r>
    <n v="124"/>
    <n v="240085463"/>
    <m/>
    <s v="مريم عنان"/>
    <s v="شخص"/>
    <x v="40"/>
    <m/>
    <x v="1"/>
    <x v="0"/>
    <s v="دورين"/>
    <s v="كينج"/>
    <m/>
    <x v="1"/>
    <m/>
    <m/>
    <n v="10445"/>
    <n v="7707"/>
    <d v="2024-12-09T00:00:00"/>
    <d v="2024-12-31T00:00:00"/>
    <d v="2024-12-12T00:00:00"/>
    <s v="تم التسليم محمود على "/>
    <x v="0"/>
    <n v="22"/>
    <n v="-19"/>
    <x v="0"/>
  </r>
  <r>
    <n v="125"/>
    <n v="1818591"/>
    <n v="1332300"/>
    <s v="هبه عطيه "/>
    <s v="شخص"/>
    <x v="11"/>
    <m/>
    <x v="0"/>
    <x v="1"/>
    <s v="دوران"/>
    <s v="ميكانزم"/>
    <m/>
    <x v="3"/>
    <s v="بنى غامق"/>
    <m/>
    <n v="11199"/>
    <n v="11257"/>
    <d v="2024-12-12T00:00:00"/>
    <d v="2024-12-24T00:00:00"/>
    <d v="2024-12-19T00:00:00"/>
    <s v="تم التسليم محمود على "/>
    <x v="0"/>
    <n v="12"/>
    <n v="-5"/>
    <x v="0"/>
  </r>
  <r>
    <n v="126"/>
    <n v="1818396"/>
    <n v="1332179"/>
    <s v="حمدى ذكرى"/>
    <s v="شخص"/>
    <x v="6"/>
    <m/>
    <x v="0"/>
    <x v="0"/>
    <s v="دورين"/>
    <s v="نوفال"/>
    <n v="80"/>
    <x v="1"/>
    <m/>
    <m/>
    <n v="13099"/>
    <n v="13231"/>
    <d v="2024-12-12T00:00:00"/>
    <d v="2024-12-28T00:00:00"/>
    <d v="2024-12-29T00:00:00"/>
    <s v="تم التسليم محمود على "/>
    <x v="0"/>
    <n v="16"/>
    <n v="1"/>
    <x v="0"/>
  </r>
  <r>
    <n v="127"/>
    <n v="240085758"/>
    <m/>
    <s v="شيك هومز"/>
    <s v="شركة"/>
    <x v="4"/>
    <m/>
    <x v="1"/>
    <x v="2"/>
    <s v="4×1"/>
    <s v="ارينا"/>
    <m/>
    <x v="3"/>
    <s v="روك ١٠"/>
    <m/>
    <n v="8700"/>
    <s v="حساب شركه"/>
    <d v="2024-12-14T00:00:00"/>
    <d v="2025-01-05T00:00:00"/>
    <d v="2024-12-29T00:00:00"/>
    <s v="تم التسليم محمود على "/>
    <x v="0"/>
    <n v="22"/>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84F67D-EE04-49B8-8485-3DC329A60706}"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10:T16" firstHeaderRow="1" firstDataRow="1" firstDataCol="1"/>
  <pivotFields count="25">
    <pivotField showAll="0"/>
    <pivotField showAll="0"/>
    <pivotField showAll="0"/>
    <pivotField showAll="0"/>
    <pivotField showAll="0"/>
    <pivotField showAll="0"/>
    <pivotField showAll="0"/>
    <pivotField showAll="0">
      <items count="15">
        <item x="5"/>
        <item x="4"/>
        <item x="3"/>
        <item m="1" x="10"/>
        <item m="1" x="11"/>
        <item x="1"/>
        <item m="1" x="9"/>
        <item x="2"/>
        <item x="8"/>
        <item x="7"/>
        <item x="6"/>
        <item m="1" x="12"/>
        <item x="0"/>
        <item m="1" x="13"/>
        <item t="default"/>
      </items>
    </pivotField>
    <pivotField axis="axisRow" showAll="0">
      <items count="12">
        <item m="1" x="9"/>
        <item m="1" x="10"/>
        <item x="1"/>
        <item x="3"/>
        <item x="0"/>
        <item m="1" x="5"/>
        <item x="4"/>
        <item m="1" x="6"/>
        <item x="2"/>
        <item m="1" x="7"/>
        <item m="1"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8"/>
  </rowFields>
  <rowItems count="6">
    <i>
      <x v="2"/>
    </i>
    <i>
      <x v="3"/>
    </i>
    <i>
      <x v="4"/>
    </i>
    <i>
      <x v="6"/>
    </i>
    <i>
      <x v="8"/>
    </i>
    <i t="grand">
      <x/>
    </i>
  </rowItems>
  <colItems count="1">
    <i/>
  </colItems>
  <dataFields count="1">
    <dataField name="Count of سعر البيع " fld="15" subtotal="count" baseField="7"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58022F-C1E5-4629-B337-056297696A45}"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A32" firstHeaderRow="1" firstDataRow="1" firstDataCol="0"/>
  <pivotFields count="25">
    <pivotField showAll="0"/>
    <pivotField showAll="0"/>
    <pivotField showAll="0"/>
    <pivotField showAll="0"/>
    <pivotField showAll="0"/>
    <pivotField showAll="0"/>
    <pivotField showAll="0"/>
    <pivotField showAll="0">
      <items count="15">
        <item x="5"/>
        <item x="4"/>
        <item x="3"/>
        <item m="1" x="10"/>
        <item m="1" x="11"/>
        <item x="1"/>
        <item m="1" x="9"/>
        <item x="2"/>
        <item x="8"/>
        <item x="7"/>
        <item x="6"/>
        <item m="1" x="12"/>
        <item x="0"/>
        <item m="1" x="13"/>
        <item t="default"/>
      </items>
    </pivotField>
    <pivotField showAll="0">
      <items count="12">
        <item m="1" x="9"/>
        <item m="1" x="10"/>
        <item x="1"/>
        <item x="3"/>
        <item x="0"/>
        <item m="1" x="5"/>
        <item x="4"/>
        <item m="1" x="6"/>
        <item x="2"/>
        <item m="1" x="7"/>
        <item m="1"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سعر البيع " fld="15" baseField="0" baseItem="0" numFmtId="165"/>
  </dataFields>
  <formats count="1">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FC5B5C-068F-4EE8-BB43-FD64C83AFE8D}"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S6:AT9"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عدد المستخدم" fld="1"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419C4A-EFD1-4486-84F3-D5EC4889F3A0}"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J13" firstHeaderRow="1" firstDataRow="1" firstDataCol="0"/>
  <pivotFields count="25">
    <pivotField showAll="0"/>
    <pivotField showAll="0"/>
    <pivotField showAll="0"/>
    <pivotField showAll="0"/>
    <pivotField showAll="0"/>
    <pivotField showAll="0"/>
    <pivotField showAll="0"/>
    <pivotField showAll="0">
      <items count="15">
        <item x="5"/>
        <item x="4"/>
        <item x="3"/>
        <item m="1" x="10"/>
        <item m="1" x="11"/>
        <item x="1"/>
        <item m="1" x="9"/>
        <item x="2"/>
        <item x="8"/>
        <item x="7"/>
        <item x="6"/>
        <item m="1" x="12"/>
        <item x="0"/>
        <item m="1" x="13"/>
        <item t="default"/>
      </items>
    </pivotField>
    <pivotField showAll="0">
      <items count="12">
        <item m="1" x="9"/>
        <item m="1" x="10"/>
        <item x="1"/>
        <item x="3"/>
        <item x="0"/>
        <item m="1" x="5"/>
        <item x="4"/>
        <item m="1" x="6"/>
        <item x="2"/>
        <item m="1" x="7"/>
        <item m="1"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سعر البيع " fld="15" subtotal="average" baseField="0" baseItem="0" numFmtId="165"/>
  </dataFields>
  <formats count="1">
    <format dxfId="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F83AD7-A8F4-4C6B-8ABD-DF7F9C360BCD}"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12:N22" firstHeaderRow="1" firstDataRow="1" firstDataCol="1"/>
  <pivotFields count="25">
    <pivotField showAll="0"/>
    <pivotField showAll="0"/>
    <pivotField showAll="0"/>
    <pivotField showAll="0"/>
    <pivotField showAll="0"/>
    <pivotField showAll="0"/>
    <pivotField showAll="0"/>
    <pivotField axis="axisRow" showAll="0">
      <items count="15">
        <item x="5"/>
        <item x="4"/>
        <item x="3"/>
        <item m="1" x="10"/>
        <item m="1" x="11"/>
        <item x="1"/>
        <item m="1" x="9"/>
        <item x="2"/>
        <item x="8"/>
        <item x="7"/>
        <item x="6"/>
        <item m="1" x="12"/>
        <item x="0"/>
        <item m="1" x="13"/>
        <item t="default"/>
      </items>
    </pivotField>
    <pivotField showAll="0">
      <items count="12">
        <item m="1" x="9"/>
        <item m="1" x="10"/>
        <item x="1"/>
        <item x="3"/>
        <item x="0"/>
        <item m="1" x="5"/>
        <item x="4"/>
        <item m="1" x="6"/>
        <item x="2"/>
        <item m="1" x="7"/>
        <item m="1"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7"/>
  </rowFields>
  <rowItems count="10">
    <i>
      <x/>
    </i>
    <i>
      <x v="1"/>
    </i>
    <i>
      <x v="2"/>
    </i>
    <i>
      <x v="5"/>
    </i>
    <i>
      <x v="7"/>
    </i>
    <i>
      <x v="8"/>
    </i>
    <i>
      <x v="9"/>
    </i>
    <i>
      <x v="10"/>
    </i>
    <i>
      <x v="12"/>
    </i>
    <i t="grand">
      <x/>
    </i>
  </rowItems>
  <colItems count="1">
    <i/>
  </colItems>
  <dataFields count="1">
    <dataField name="Count of سعر البيع " fld="15" subtotal="count" baseField="6" baseItem="0"/>
  </dataFields>
  <chartFormats count="2">
    <chartFormat chart="5"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37B4FE-4A78-459C-AD9A-376DA1C0487D}"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G16" firstHeaderRow="1" firstDataRow="1" firstDataCol="0"/>
  <pivotFields count="25">
    <pivotField showAll="0"/>
    <pivotField showAll="0"/>
    <pivotField showAll="0"/>
    <pivotField showAll="0"/>
    <pivotField showAll="0"/>
    <pivotField showAll="0"/>
    <pivotField showAll="0"/>
    <pivotField showAll="0">
      <items count="15">
        <item x="5"/>
        <item x="4"/>
        <item x="3"/>
        <item m="1" x="10"/>
        <item m="1" x="11"/>
        <item x="1"/>
        <item m="1" x="9"/>
        <item x="2"/>
        <item x="8"/>
        <item x="7"/>
        <item x="6"/>
        <item m="1" x="12"/>
        <item x="0"/>
        <item m="1" x="13"/>
        <item t="default"/>
      </items>
    </pivotField>
    <pivotField showAll="0">
      <items count="12">
        <item m="1" x="9"/>
        <item m="1" x="10"/>
        <item x="1"/>
        <item x="3"/>
        <item x="0"/>
        <item m="1" x="5"/>
        <item x="4"/>
        <item m="1" x="6"/>
        <item x="2"/>
        <item m="1" x="7"/>
        <item m="1"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سعر البيع "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143703-72AE-4FC2-964A-98F539E470BF}"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G8:AH50" firstHeaderRow="1" firstDataRow="1" firstDataCol="1"/>
  <pivotFields count="25">
    <pivotField showAll="0"/>
    <pivotField showAll="0"/>
    <pivotField showAll="0"/>
    <pivotField showAll="0"/>
    <pivotField showAll="0"/>
    <pivotField axis="axisRow" showAll="0" sortType="descending">
      <items count="52">
        <item x="17"/>
        <item x="33"/>
        <item m="1" x="50"/>
        <item x="6"/>
        <item x="26"/>
        <item x="27"/>
        <item x="40"/>
        <item x="25"/>
        <item m="1" x="41"/>
        <item x="29"/>
        <item m="1" x="49"/>
        <item x="15"/>
        <item x="32"/>
        <item x="5"/>
        <item m="1" x="43"/>
        <item x="23"/>
        <item x="31"/>
        <item x="30"/>
        <item x="18"/>
        <item m="1" x="45"/>
        <item m="1" x="47"/>
        <item x="22"/>
        <item x="7"/>
        <item m="1" x="42"/>
        <item x="24"/>
        <item x="0"/>
        <item x="14"/>
        <item m="1" x="48"/>
        <item x="3"/>
        <item x="11"/>
        <item m="1" x="46"/>
        <item x="16"/>
        <item m="1" x="44"/>
        <item x="36"/>
        <item x="28"/>
        <item x="12"/>
        <item x="34"/>
        <item x="9"/>
        <item x="39"/>
        <item x="38"/>
        <item x="19"/>
        <item x="1"/>
        <item x="2"/>
        <item x="37"/>
        <item x="21"/>
        <item x="20"/>
        <item x="13"/>
        <item x="4"/>
        <item x="35"/>
        <item x="10"/>
        <item x="8"/>
        <item t="default"/>
      </items>
      <autoSortScope>
        <pivotArea dataOnly="0" outline="0" fieldPosition="0">
          <references count="1">
            <reference field="4294967294" count="1" selected="0">
              <x v="0"/>
            </reference>
          </references>
        </pivotArea>
      </autoSortScope>
    </pivotField>
    <pivotField showAll="0"/>
    <pivotField showAll="0">
      <items count="15">
        <item x="5"/>
        <item x="4"/>
        <item x="3"/>
        <item m="1" x="10"/>
        <item m="1" x="11"/>
        <item x="1"/>
        <item m="1" x="9"/>
        <item x="2"/>
        <item x="8"/>
        <item x="7"/>
        <item x="6"/>
        <item m="1" x="12"/>
        <item x="0"/>
        <item m="1" x="13"/>
        <item t="default"/>
      </items>
    </pivotField>
    <pivotField showAll="0">
      <items count="12">
        <item m="1" x="9"/>
        <item m="1" x="10"/>
        <item x="1"/>
        <item x="3"/>
        <item x="0"/>
        <item m="1" x="5"/>
        <item x="4"/>
        <item m="1" x="6"/>
        <item x="2"/>
        <item m="1" x="7"/>
        <item m="1"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42">
    <i>
      <x v="29"/>
    </i>
    <i>
      <x v="47"/>
    </i>
    <i>
      <x v="3"/>
    </i>
    <i>
      <x v="22"/>
    </i>
    <i>
      <x v="9"/>
    </i>
    <i>
      <x v="35"/>
    </i>
    <i>
      <x v="18"/>
    </i>
    <i>
      <x v="13"/>
    </i>
    <i>
      <x v="28"/>
    </i>
    <i>
      <x v="15"/>
    </i>
    <i>
      <x v="21"/>
    </i>
    <i>
      <x v="50"/>
    </i>
    <i>
      <x v="37"/>
    </i>
    <i>
      <x v="34"/>
    </i>
    <i>
      <x v="26"/>
    </i>
    <i>
      <x v="42"/>
    </i>
    <i>
      <x v="40"/>
    </i>
    <i>
      <x v="17"/>
    </i>
    <i>
      <x v="5"/>
    </i>
    <i>
      <x v="4"/>
    </i>
    <i>
      <x v="49"/>
    </i>
    <i>
      <x v="24"/>
    </i>
    <i>
      <x v="31"/>
    </i>
    <i>
      <x v="46"/>
    </i>
    <i>
      <x v="38"/>
    </i>
    <i>
      <x v="45"/>
    </i>
    <i>
      <x v="7"/>
    </i>
    <i>
      <x v="12"/>
    </i>
    <i>
      <x v="48"/>
    </i>
    <i>
      <x v="43"/>
    </i>
    <i>
      <x v="6"/>
    </i>
    <i>
      <x v="41"/>
    </i>
    <i>
      <x v="25"/>
    </i>
    <i>
      <x/>
    </i>
    <i>
      <x v="16"/>
    </i>
    <i>
      <x v="36"/>
    </i>
    <i>
      <x v="39"/>
    </i>
    <i>
      <x v="44"/>
    </i>
    <i>
      <x v="11"/>
    </i>
    <i>
      <x v="33"/>
    </i>
    <i>
      <x v="1"/>
    </i>
    <i t="grand">
      <x/>
    </i>
  </rowItems>
  <colItems count="1">
    <i/>
  </colItems>
  <dataFields count="1">
    <dataField name="Sum of سعر البيع " fld="15"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19B63F-E9AD-4079-90BE-625D003A9254}"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5:AM8" firstHeaderRow="1" firstDataRow="1" firstDataCol="1"/>
  <pivotFields count="25">
    <pivotField showAll="0"/>
    <pivotField showAll="0"/>
    <pivotField showAll="0"/>
    <pivotField showAll="0"/>
    <pivotField showAll="0"/>
    <pivotField showAll="0"/>
    <pivotField showAll="0"/>
    <pivotField showAll="0">
      <items count="15">
        <item x="5"/>
        <item x="4"/>
        <item x="3"/>
        <item m="1" x="10"/>
        <item m="1" x="11"/>
        <item x="1"/>
        <item m="1" x="9"/>
        <item x="2"/>
        <item x="8"/>
        <item x="7"/>
        <item x="6"/>
        <item m="1" x="12"/>
        <item x="0"/>
        <item m="1" x="13"/>
        <item t="default"/>
      </items>
    </pivotField>
    <pivotField showAll="0">
      <items count="12">
        <item m="1" x="9"/>
        <item m="1" x="10"/>
        <item x="1"/>
        <item x="3"/>
        <item x="0"/>
        <item m="1" x="5"/>
        <item x="4"/>
        <item m="1" x="6"/>
        <item x="2"/>
        <item m="1" x="7"/>
        <item m="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0"/>
        <item h="1" x="1"/>
        <item t="default"/>
      </items>
    </pivotField>
  </pivotFields>
  <rowFields count="1">
    <field x="24"/>
  </rowFields>
  <rowItems count="3">
    <i>
      <x/>
    </i>
    <i>
      <x v="1"/>
    </i>
    <i t="grand">
      <x/>
    </i>
  </rowItems>
  <colItems count="1">
    <i/>
  </colItems>
  <dataFields count="1">
    <dataField name="Count of البضاعه المباعه فى موعيدها" fld="24" subtotal="count" showDataAs="percentOfCol" baseField="2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29E4F0-03F4-4A58-8800-DF9E5A79B9BE}"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V5:W19" firstHeaderRow="1" firstDataRow="1" firstDataCol="1"/>
  <pivotFields count="25">
    <pivotField showAll="0"/>
    <pivotField showAll="0"/>
    <pivotField showAll="0"/>
    <pivotField showAll="0"/>
    <pivotField showAll="0"/>
    <pivotField showAll="0"/>
    <pivotField showAll="0"/>
    <pivotField showAll="0">
      <items count="15">
        <item x="5"/>
        <item x="4"/>
        <item x="3"/>
        <item m="1" x="10"/>
        <item m="1" x="11"/>
        <item x="1"/>
        <item m="1" x="9"/>
        <item x="2"/>
        <item x="8"/>
        <item x="7"/>
        <item x="6"/>
        <item m="1" x="12"/>
        <item x="0"/>
        <item m="1" x="13"/>
        <item t="default"/>
      </items>
    </pivotField>
    <pivotField showAll="0">
      <items count="12">
        <item m="1" x="9"/>
        <item m="1" x="10"/>
        <item x="1"/>
        <item x="3"/>
        <item x="0"/>
        <item m="1" x="5"/>
        <item x="4"/>
        <item m="1" x="6"/>
        <item x="2"/>
        <item m="1" x="7"/>
        <item m="1" x="8"/>
        <item t="default"/>
      </items>
    </pivotField>
    <pivotField showAll="0"/>
    <pivotField showAll="0"/>
    <pivotField showAll="0"/>
    <pivotField axis="axisRow" showAll="0" sortType="descending">
      <items count="14">
        <item x="0"/>
        <item x="2"/>
        <item x="11"/>
        <item x="1"/>
        <item x="3"/>
        <item x="8"/>
        <item x="5"/>
        <item x="7"/>
        <item x="12"/>
        <item x="6"/>
        <item x="4"/>
        <item x="10"/>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2"/>
  </rowFields>
  <rowItems count="14">
    <i>
      <x v="3"/>
    </i>
    <i>
      <x/>
    </i>
    <i>
      <x v="4"/>
    </i>
    <i>
      <x v="10"/>
    </i>
    <i>
      <x v="6"/>
    </i>
    <i>
      <x v="1"/>
    </i>
    <i>
      <x v="9"/>
    </i>
    <i>
      <x v="5"/>
    </i>
    <i>
      <x v="12"/>
    </i>
    <i>
      <x v="7"/>
    </i>
    <i>
      <x v="8"/>
    </i>
    <i>
      <x v="2"/>
    </i>
    <i>
      <x v="11"/>
    </i>
    <i t="grand">
      <x/>
    </i>
  </rowItems>
  <colItems count="1">
    <i/>
  </colItems>
  <dataFields count="1">
    <dataField name="Count of سعر البيع " fld="15" subtotal="count" baseField="11"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22A2E4-AA30-4DB6-BCE8-3267585E2256}"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5:AB8" firstHeaderRow="1" firstDataRow="1" firstDataCol="1"/>
  <pivotFields count="25">
    <pivotField showAll="0"/>
    <pivotField showAll="0"/>
    <pivotField showAll="0"/>
    <pivotField showAll="0"/>
    <pivotField showAll="0"/>
    <pivotField showAll="0"/>
    <pivotField showAll="0"/>
    <pivotField showAll="0">
      <items count="15">
        <item x="5"/>
        <item x="4"/>
        <item x="3"/>
        <item m="1" x="10"/>
        <item m="1" x="11"/>
        <item x="1"/>
        <item m="1" x="9"/>
        <item x="2"/>
        <item x="8"/>
        <item x="7"/>
        <item x="6"/>
        <item m="1" x="12"/>
        <item x="0"/>
        <item m="1" x="13"/>
        <item t="default"/>
      </items>
    </pivotField>
    <pivotField showAll="0">
      <items count="12">
        <item m="1" x="9"/>
        <item m="1" x="10"/>
        <item x="1"/>
        <item x="3"/>
        <item x="0"/>
        <item m="1" x="5"/>
        <item x="4"/>
        <item m="1" x="6"/>
        <item x="2"/>
        <item m="1" x="7"/>
        <item m="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x="0"/>
        <item m="1" x="9"/>
        <item m="1" x="5"/>
        <item x="1"/>
        <item m="1" x="6"/>
        <item m="1" x="10"/>
        <item m="1" x="7"/>
        <item m="1" x="11"/>
        <item m="1" x="4"/>
        <item m="1" x="8"/>
        <item m="1" x="3"/>
        <item m="1" x="2"/>
        <item t="default"/>
      </items>
    </pivotField>
    <pivotField showAll="0"/>
    <pivotField showAll="0"/>
    <pivotField showAll="0"/>
  </pivotFields>
  <rowFields count="1">
    <field x="21"/>
  </rowFields>
  <rowItems count="3">
    <i>
      <x/>
    </i>
    <i>
      <x v="3"/>
    </i>
    <i t="grand">
      <x/>
    </i>
  </rowItems>
  <colItems count="1">
    <i/>
  </colItems>
  <dataFields count="1">
    <dataField name="Count of الحالة" fld="21" subtotal="count" baseField="20"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منتج" xr10:uid="{01788B8B-FA6A-4D50-B03B-EB7DEE219901}" sourceName="نوع المنتج">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1408241144">
      <items count="11">
        <i x="1" s="1"/>
        <i x="3" s="1"/>
        <i x="0" s="1"/>
        <i x="4" s="1"/>
        <i x="2" s="1"/>
        <i x="9" s="1" nd="1"/>
        <i x="10" s="1" nd="1"/>
        <i x="5" s="1" nd="1"/>
        <i x="6" s="1" nd="1"/>
        <i x="7"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نوع المنتج" xr10:uid="{0A569513-398D-4ECF-B542-FF9CC6F38B98}" cache="Slicer_نوع_المنتج" caption="نوع المنتج" columnCount="2"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2E85D8-B180-43E6-80EC-A42BC8C1D200}" name="sales" displayName="sales" ref="A1:Y127" totalsRowCount="1" headerRowDxfId="116" dataDxfId="114" headerRowBorderDxfId="115" tableBorderDxfId="113">
  <autoFilter ref="A1:Y126" xr:uid="{592E85D8-B180-43E6-80EC-A42BC8C1D200}"/>
  <tableColumns count="25">
    <tableColumn id="1" xr3:uid="{F69C24B1-75F5-4AE7-9E50-A2E11511E73C}" name="م" totalsRowLabel="Total" dataDxfId="112" totalsRowDxfId="47"/>
    <tableColumn id="2" xr3:uid="{74884C23-4389-448D-97CB-8AE14AE4CBA8}" name="رقم العملية"/>
    <tableColumn id="3" xr3:uid="{C5CC4117-2CB9-4F9F-85B7-CDE75DA609D6}" name="رقم الطلب" dataDxfId="111" totalsRowDxfId="46"/>
    <tableColumn id="4" xr3:uid="{75035DDA-792D-4A47-BD0A-0FD3FE85B5E7}" name="أسم العميل" totalsRowFunction="count" dataDxfId="110" totalsRowDxfId="45"/>
    <tableColumn id="25" xr3:uid="{10548CB1-09DA-4AFC-86BB-32F970DFDD29}" name="اسم شخص" dataDxfId="109" totalsRowDxfId="44"/>
    <tableColumn id="5" xr3:uid="{85631223-7E8E-4751-80CC-26D81161C6D9}" name="العنوان" totalsRowFunction="count" dataDxfId="108" totalsRowDxfId="43"/>
    <tableColumn id="6" xr3:uid="{18C5E263-4C53-4242-BACE-E114033AD7BC}" name="رقم الموبيل" dataDxfId="107" totalsRowDxfId="42"/>
    <tableColumn id="7" xr3:uid="{C8696214-33BC-449E-8871-E2780C99B0FA}" name="منصة البيع " dataDxfId="106" totalsRowDxfId="41"/>
    <tableColumn id="8" xr3:uid="{B345097A-B20B-4A5C-9194-BC79F7F2C896}" name="نوع المنتج" dataDxfId="105" totalsRowDxfId="40"/>
    <tableColumn id="9" xr3:uid="{B8257AB7-040A-4E93-AEC0-194024382CE7}" name="Column2" dataDxfId="104" totalsRowDxfId="39"/>
    <tableColumn id="10" xr3:uid="{6E3E5FD6-3B44-4F47-B444-C447BB3F9262}" name="الاسم" dataDxfId="103" totalsRowDxfId="38"/>
    <tableColumn id="11" xr3:uid="{AA1599B8-8DD7-485A-B182-A63352B0DDBE}" name="المقاس" dataDxfId="102" totalsRowDxfId="37"/>
    <tableColumn id="12" xr3:uid="{7AD2C82C-20E2-410A-88C5-1270C63F1908}" name="اللون المعدن" dataDxfId="101" totalsRowDxfId="36"/>
    <tableColumn id="13" xr3:uid="{7C5DC28E-3344-4FFB-9535-C82E93B5A9BF}" name="لون القماش" dataDxfId="100" totalsRowDxfId="35"/>
    <tableColumn id="14" xr3:uid="{95AB4F4C-E55A-4AF3-A681-E8EECC82B8B8}" name="المنتج" dataDxfId="99" totalsRowDxfId="34"/>
    <tableColumn id="15" xr3:uid="{200EADFB-B9AC-407A-B654-B687A4EF5E0F}" name="سعر البيع " totalsRowFunction="sum" dataDxfId="98" totalsRowDxfId="33"/>
    <tableColumn id="16" xr3:uid="{1D6BABD8-07A5-4E30-BF3C-CC29A8F0DF9C}" name="طريقه الدفع " dataDxfId="97" totalsRowDxfId="32"/>
    <tableColumn id="17" xr3:uid="{E1AD6D43-DEA1-484A-BEA0-89C45AB19E5D}" name="ميعاد الطلب" dataDxfId="96" totalsRowDxfId="31"/>
    <tableColumn id="18" xr3:uid="{0CFB6ED6-D17B-450C-B4C4-48B7D93489F8}" name="ميعاد التسليم" dataDxfId="95" totalsRowDxfId="30"/>
    <tableColumn id="19" xr3:uid="{B49BBCE3-C38B-4BAA-BF38-E8B8210DDF32}" name="تاريخ التسليم" dataDxfId="94" totalsRowDxfId="29"/>
    <tableColumn id="20" xr3:uid="{52CA5743-5C04-4430-A4CE-7634F5E0D432}" name="المسئول عن التسليم" dataDxfId="93" totalsRowDxfId="28"/>
    <tableColumn id="21" xr3:uid="{00C2308B-FBB9-41AB-BBA0-84240BE40F0D}" name="الحالة" totalsRowFunction="count" dataDxfId="92" totalsRowDxfId="27"/>
    <tableColumn id="22" xr3:uid="{8B274BA0-2A85-48AE-B16F-AD31001B0C30}" name="Column1" dataDxfId="91" totalsRowDxfId="26">
      <calculatedColumnFormula>sales[[#This Row],[ميعاد التسليم]]-sales[[#This Row],[ميعاد الطلب]]</calculatedColumnFormula>
    </tableColumn>
    <tableColumn id="23" xr3:uid="{2A7F1943-3A8C-4D01-8201-FFD73F80A012}" name="فرق البضاغه المتسلمه" dataDxfId="90">
      <calculatedColumnFormula>sales[[#This Row],[تاريخ التسليم]]-sales[[#This Row],[ميعاد التسليم]]</calculatedColumnFormula>
    </tableColumn>
    <tableColumn id="24" xr3:uid="{EBFD1B59-9CC8-4AE3-AE60-A491D7F6B507}" name="البضاعه المباعه فى موعيدها" dataDxfId="89">
      <calculatedColumnFormula>IF(sales[[#This Row],[فرق البضاغه المتسلمه]]&lt;=2,"تم تسليم فى الموعد","تسليم متاخر")</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C6EEA5-6207-48DF-8F89-3A1BCC52413C}" name="person_t" displayName="person_t" ref="AA12:AB14" totalsRowShown="0" headerRowDxfId="88" dataDxfId="87">
  <autoFilter ref="AA12:AB14" xr:uid="{ECC6EEA5-6207-48DF-8F89-3A1BCC52413C}"/>
  <tableColumns count="2">
    <tableColumn id="1" xr3:uid="{2929E4A5-5269-4E4C-AFDE-A8258CD43377}" name="نوع المستخدم" dataDxfId="86"/>
    <tableColumn id="3" xr3:uid="{61A124E9-48EC-433B-909A-E6D882F38390}" name="عدد المستخدم" dataDxfId="85">
      <calculatedColumnFormula>COUNTIF(sales[اسم شخص],"شركة")</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B16"/>
  <sheetViews>
    <sheetView showGridLines="0" rightToLeft="1" workbookViewId="0">
      <selection activeCell="B13" sqref="B13"/>
    </sheetView>
  </sheetViews>
  <sheetFormatPr defaultRowHeight="15" x14ac:dyDescent="0.25"/>
  <cols>
    <col min="2" max="2" width="41.85546875" customWidth="1"/>
  </cols>
  <sheetData>
    <row r="1" spans="1:2" x14ac:dyDescent="0.25">
      <c r="A1" s="11"/>
      <c r="B1" s="11"/>
    </row>
    <row r="2" spans="1:2" x14ac:dyDescent="0.25">
      <c r="A2" s="11"/>
      <c r="B2" s="11"/>
    </row>
    <row r="3" spans="1:2" s="9" customFormat="1" ht="25.5" x14ac:dyDescent="0.35">
      <c r="A3" s="9" t="s">
        <v>291</v>
      </c>
    </row>
    <row r="4" spans="1:2" s="10" customFormat="1" ht="18.75" x14ac:dyDescent="0.3">
      <c r="A4" s="13" t="s">
        <v>284</v>
      </c>
      <c r="B4" s="13"/>
    </row>
    <row r="5" spans="1:2" s="6" customFormat="1" x14ac:dyDescent="0.25">
      <c r="A5" s="14"/>
      <c r="B5" s="14"/>
    </row>
    <row r="6" spans="1:2" s="8" customFormat="1" ht="18.75" x14ac:dyDescent="0.3">
      <c r="A6" s="8" t="s">
        <v>290</v>
      </c>
    </row>
    <row r="7" spans="1:2" s="7" customFormat="1" ht="15.75" x14ac:dyDescent="0.25">
      <c r="A7" s="15" t="s">
        <v>285</v>
      </c>
      <c r="B7" s="12"/>
    </row>
    <row r="8" spans="1:2" s="7" customFormat="1" ht="15.75" x14ac:dyDescent="0.25">
      <c r="A8" s="12" t="s">
        <v>286</v>
      </c>
      <c r="B8" s="12"/>
    </row>
    <row r="9" spans="1:2" s="7" customFormat="1" ht="15.75" x14ac:dyDescent="0.25">
      <c r="A9" s="12" t="s">
        <v>287</v>
      </c>
      <c r="B9" s="12"/>
    </row>
    <row r="10" spans="1:2" s="7" customFormat="1" ht="15.75" x14ac:dyDescent="0.25">
      <c r="A10" s="12" t="s">
        <v>288</v>
      </c>
      <c r="B10" s="12"/>
    </row>
    <row r="11" spans="1:2" s="12" customFormat="1" ht="15.75" x14ac:dyDescent="0.25">
      <c r="A11" s="12" t="s">
        <v>292</v>
      </c>
    </row>
    <row r="12" spans="1:2" s="7" customFormat="1" ht="15.75" x14ac:dyDescent="0.25">
      <c r="A12" s="12" t="s">
        <v>293</v>
      </c>
      <c r="B12" s="12"/>
    </row>
    <row r="13" spans="1:2" s="7" customFormat="1" ht="15.75" x14ac:dyDescent="0.25">
      <c r="A13" s="12" t="s">
        <v>289</v>
      </c>
      <c r="B13" s="12"/>
    </row>
    <row r="14" spans="1:2" s="7" customFormat="1" ht="15.75" x14ac:dyDescent="0.25">
      <c r="A14" s="12" t="s">
        <v>296</v>
      </c>
      <c r="B14" s="12"/>
    </row>
    <row r="15" spans="1:2" s="7" customFormat="1" ht="15.75" x14ac:dyDescent="0.25">
      <c r="A15" s="12" t="s">
        <v>294</v>
      </c>
      <c r="B15" s="12"/>
    </row>
    <row r="16" spans="1:2" ht="15.75" x14ac:dyDescent="0.25">
      <c r="A16" s="12"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40"/>
  <sheetViews>
    <sheetView rightToLeft="1" topLeftCell="G1" zoomScale="70" zoomScaleNormal="70" workbookViewId="0">
      <selection activeCell="I3" sqref="I3:I125"/>
    </sheetView>
  </sheetViews>
  <sheetFormatPr defaultColWidth="8.85546875" defaultRowHeight="15" x14ac:dyDescent="0.25"/>
  <cols>
    <col min="1" max="1" width="15.5703125" style="1" customWidth="1"/>
    <col min="2" max="2" width="21.5703125" style="1" customWidth="1"/>
    <col min="3" max="3" width="22" style="1" customWidth="1"/>
    <col min="4" max="5" width="26.140625" style="60" customWidth="1"/>
    <col min="6" max="6" width="37" style="60" customWidth="1"/>
    <col min="7" max="7" width="33.140625" style="1" customWidth="1"/>
    <col min="8" max="8" width="18.28515625" style="60" bestFit="1" customWidth="1"/>
    <col min="9" max="9" width="20.7109375" style="60" customWidth="1"/>
    <col min="10" max="10" width="18.42578125" style="1" customWidth="1"/>
    <col min="11" max="11" width="19.85546875" style="1" customWidth="1"/>
    <col min="12" max="12" width="14.140625" style="1" customWidth="1"/>
    <col min="13" max="13" width="17.42578125" style="80" bestFit="1" customWidth="1"/>
    <col min="14" max="14" width="16.7109375" style="1" customWidth="1"/>
    <col min="15" max="15" width="35.28515625" style="1" customWidth="1"/>
    <col min="16" max="16" width="17.5703125" style="60" customWidth="1"/>
    <col min="17" max="17" width="27.140625" style="4" customWidth="1"/>
    <col min="18" max="20" width="20.7109375" style="85" customWidth="1"/>
    <col min="21" max="21" width="33" style="1" customWidth="1"/>
    <col min="22" max="22" width="12.85546875" style="64" customWidth="1"/>
    <col min="23" max="23" width="20.7109375" style="4" customWidth="1"/>
    <col min="24" max="24" width="15" style="1" customWidth="1"/>
    <col min="25" max="25" width="26" style="1" customWidth="1"/>
    <col min="26" max="26" width="8.85546875" style="1"/>
    <col min="27" max="27" width="19.7109375" style="1" customWidth="1"/>
    <col min="28" max="28" width="21" style="1" customWidth="1"/>
    <col min="29" max="29" width="14.42578125" style="1" customWidth="1"/>
    <col min="30" max="16384" width="8.85546875" style="1"/>
  </cols>
  <sheetData>
    <row r="1" spans="1:28" ht="20.100000000000001" customHeight="1" x14ac:dyDescent="0.25">
      <c r="A1" s="54" t="s">
        <v>5</v>
      </c>
      <c r="B1" s="55" t="s">
        <v>169</v>
      </c>
      <c r="C1" s="55" t="s">
        <v>170</v>
      </c>
      <c r="D1" s="55" t="s">
        <v>0</v>
      </c>
      <c r="E1" s="55" t="s">
        <v>323</v>
      </c>
      <c r="F1" s="55" t="s">
        <v>1</v>
      </c>
      <c r="G1" s="55" t="s">
        <v>6</v>
      </c>
      <c r="H1" s="55" t="s">
        <v>7</v>
      </c>
      <c r="I1" s="55" t="s">
        <v>299</v>
      </c>
      <c r="J1" s="55" t="s">
        <v>298</v>
      </c>
      <c r="K1" s="55" t="s">
        <v>162</v>
      </c>
      <c r="L1" s="55" t="s">
        <v>163</v>
      </c>
      <c r="M1" s="74" t="s">
        <v>167</v>
      </c>
      <c r="N1" s="55" t="s">
        <v>168</v>
      </c>
      <c r="O1" s="55" t="s">
        <v>2</v>
      </c>
      <c r="P1" s="55" t="s">
        <v>9</v>
      </c>
      <c r="Q1" s="56" t="s">
        <v>10</v>
      </c>
      <c r="R1" s="82" t="s">
        <v>12</v>
      </c>
      <c r="S1" s="82" t="s">
        <v>11</v>
      </c>
      <c r="T1" s="82" t="s">
        <v>3</v>
      </c>
      <c r="U1" s="55" t="s">
        <v>4</v>
      </c>
      <c r="V1" s="57" t="s">
        <v>178</v>
      </c>
      <c r="W1" s="56" t="s">
        <v>297</v>
      </c>
      <c r="X1" s="55" t="s">
        <v>316</v>
      </c>
      <c r="Y1" s="55" t="s">
        <v>317</v>
      </c>
      <c r="AA1" s="1" t="s">
        <v>324</v>
      </c>
    </row>
    <row r="2" spans="1:28" ht="20.100000000000001" customHeight="1" x14ac:dyDescent="0.25">
      <c r="A2" s="52">
        <v>1</v>
      </c>
      <c r="B2" s="20"/>
      <c r="C2" s="20"/>
      <c r="D2" s="57" t="s">
        <v>13</v>
      </c>
      <c r="E2" s="57" t="s">
        <v>324</v>
      </c>
      <c r="F2" s="57" t="s">
        <v>14</v>
      </c>
      <c r="G2" s="20"/>
      <c r="H2" s="57" t="s">
        <v>8</v>
      </c>
      <c r="I2" s="57" t="s">
        <v>139</v>
      </c>
      <c r="J2" s="20" t="s">
        <v>140</v>
      </c>
      <c r="K2" s="20"/>
      <c r="L2" s="20"/>
      <c r="M2" s="75" t="s">
        <v>155</v>
      </c>
      <c r="N2" s="20"/>
      <c r="O2" s="20" t="s">
        <v>15</v>
      </c>
      <c r="P2" s="57">
        <v>10160</v>
      </c>
      <c r="Q2" s="22" t="s">
        <v>16</v>
      </c>
      <c r="R2" s="61">
        <v>45500</v>
      </c>
      <c r="S2" s="61">
        <v>45514</v>
      </c>
      <c r="T2" s="61">
        <v>45514</v>
      </c>
      <c r="U2" s="20" t="s">
        <v>26</v>
      </c>
      <c r="V2" s="46" t="s">
        <v>183</v>
      </c>
      <c r="W2" s="22">
        <f>sales[[#This Row],[ميعاد التسليم]]-sales[[#This Row],[ميعاد الطلب]]</f>
        <v>14</v>
      </c>
      <c r="X2" s="32">
        <f>sales[[#This Row],[تاريخ التسليم]]-sales[[#This Row],[ميعاد التسليم]]</f>
        <v>0</v>
      </c>
      <c r="Y2" s="32" t="str">
        <f>IF(sales[[#This Row],[فرق البضاغه المتسلمه]]&lt;=2,"تم تسليم فى الموعد","تسليم متاخر")</f>
        <v>تم تسليم فى الموعد</v>
      </c>
      <c r="AA2" s="1" t="s">
        <v>325</v>
      </c>
    </row>
    <row r="3" spans="1:28" ht="20.100000000000001" customHeight="1" x14ac:dyDescent="0.25">
      <c r="A3" s="35">
        <v>2</v>
      </c>
      <c r="B3" s="21"/>
      <c r="C3" s="21"/>
      <c r="D3" s="46" t="s">
        <v>17</v>
      </c>
      <c r="E3" s="57" t="s">
        <v>324</v>
      </c>
      <c r="F3" s="46" t="s">
        <v>18</v>
      </c>
      <c r="G3" s="21"/>
      <c r="H3" s="57" t="s">
        <v>8</v>
      </c>
      <c r="I3" s="57" t="s">
        <v>139</v>
      </c>
      <c r="J3" s="21" t="s">
        <v>140</v>
      </c>
      <c r="K3" s="21"/>
      <c r="L3" s="21"/>
      <c r="M3" s="76" t="s">
        <v>156</v>
      </c>
      <c r="N3" s="21"/>
      <c r="O3" s="21" t="s">
        <v>19</v>
      </c>
      <c r="P3" s="46">
        <v>10160</v>
      </c>
      <c r="Q3" s="23">
        <v>9749</v>
      </c>
      <c r="R3" s="61">
        <v>45501</v>
      </c>
      <c r="S3" s="61">
        <v>45515</v>
      </c>
      <c r="T3" s="61">
        <v>45515</v>
      </c>
      <c r="U3" s="21" t="s">
        <v>26</v>
      </c>
      <c r="V3" s="46" t="s">
        <v>183</v>
      </c>
      <c r="W3" s="23">
        <f>sales[[#This Row],[ميعاد التسليم]]-sales[[#This Row],[ميعاد الطلب]]</f>
        <v>14</v>
      </c>
      <c r="X3" s="32">
        <f>sales[[#This Row],[تاريخ التسليم]]-sales[[#This Row],[ميعاد التسليم]]</f>
        <v>0</v>
      </c>
      <c r="Y3" s="32" t="str">
        <f>IF(sales[[#This Row],[فرق البضاغه المتسلمه]]&lt;=2,"تم تسليم فى الموعد","تسليم متاخر")</f>
        <v>تم تسليم فى الموعد</v>
      </c>
      <c r="Z3" s="90"/>
    </row>
    <row r="4" spans="1:28" ht="20.100000000000001" customHeight="1" x14ac:dyDescent="0.25">
      <c r="A4" s="31">
        <v>3</v>
      </c>
      <c r="B4" s="24"/>
      <c r="C4" s="24"/>
      <c r="D4" s="46" t="s">
        <v>20</v>
      </c>
      <c r="E4" s="57" t="s">
        <v>324</v>
      </c>
      <c r="F4" s="46" t="s">
        <v>21</v>
      </c>
      <c r="G4" s="24"/>
      <c r="H4" s="57" t="s">
        <v>8</v>
      </c>
      <c r="I4" s="57" t="s">
        <v>139</v>
      </c>
      <c r="J4" s="24" t="s">
        <v>153</v>
      </c>
      <c r="K4" s="24" t="s">
        <v>144</v>
      </c>
      <c r="L4" s="24">
        <v>90</v>
      </c>
      <c r="M4" s="76" t="s">
        <v>158</v>
      </c>
      <c r="N4" s="24"/>
      <c r="O4" s="24" t="s">
        <v>22</v>
      </c>
      <c r="P4" s="46">
        <v>11455</v>
      </c>
      <c r="Q4" s="25">
        <v>10067.68</v>
      </c>
      <c r="R4" s="61">
        <v>45500</v>
      </c>
      <c r="S4" s="61" t="s">
        <v>300</v>
      </c>
      <c r="T4" s="61"/>
      <c r="U4" s="24" t="s">
        <v>34</v>
      </c>
      <c r="V4" s="46" t="s">
        <v>213</v>
      </c>
      <c r="W4" s="23">
        <v>0</v>
      </c>
      <c r="X4" s="32" t="e">
        <f>sales[[#This Row],[تاريخ التسليم]]-sales[[#This Row],[ميعاد التسليم]]</f>
        <v>#VALUE!</v>
      </c>
      <c r="Y4" s="32" t="e">
        <f>IF(sales[[#This Row],[فرق البضاغه المتسلمه]]&lt;=2,"تم تسليم فى الموعد","تسليم متاخر")</f>
        <v>#VALUE!</v>
      </c>
      <c r="Z4" s="90"/>
    </row>
    <row r="5" spans="1:28" ht="20.100000000000001" customHeight="1" x14ac:dyDescent="0.25">
      <c r="A5" s="35">
        <v>4</v>
      </c>
      <c r="B5" s="21"/>
      <c r="C5" s="21"/>
      <c r="D5" s="46" t="s">
        <v>23</v>
      </c>
      <c r="E5" s="57" t="s">
        <v>324</v>
      </c>
      <c r="F5" s="46" t="s">
        <v>24</v>
      </c>
      <c r="G5" s="21"/>
      <c r="H5" s="57" t="s">
        <v>8</v>
      </c>
      <c r="I5" s="46" t="s">
        <v>146</v>
      </c>
      <c r="J5" s="21"/>
      <c r="K5" s="21"/>
      <c r="L5" s="21"/>
      <c r="M5" s="76" t="s">
        <v>191</v>
      </c>
      <c r="N5" s="21"/>
      <c r="O5" s="21" t="s">
        <v>25</v>
      </c>
      <c r="P5" s="46">
        <v>8642</v>
      </c>
      <c r="Q5" s="23" t="s">
        <v>16</v>
      </c>
      <c r="R5" s="61">
        <v>45529</v>
      </c>
      <c r="S5" s="61">
        <v>45542</v>
      </c>
      <c r="T5" s="61">
        <v>45531</v>
      </c>
      <c r="U5" s="21" t="s">
        <v>26</v>
      </c>
      <c r="V5" s="46" t="s">
        <v>183</v>
      </c>
      <c r="W5" s="23">
        <f>sales[[#This Row],[ميعاد التسليم]]-sales[[#This Row],[ميعاد الطلب]]</f>
        <v>13</v>
      </c>
      <c r="X5" s="32">
        <f>sales[[#This Row],[تاريخ التسليم]]-sales[[#This Row],[ميعاد التسليم]]</f>
        <v>-11</v>
      </c>
      <c r="Y5" s="32" t="str">
        <f>IF(sales[[#This Row],[فرق البضاغه المتسلمه]]&lt;=2,"تم تسليم فى الموعد","تسليم متاخر")</f>
        <v>تم تسليم فى الموعد</v>
      </c>
    </row>
    <row r="6" spans="1:28" ht="20.100000000000001" customHeight="1" x14ac:dyDescent="0.25">
      <c r="A6" s="31">
        <v>5</v>
      </c>
      <c r="B6" s="24"/>
      <c r="C6" s="24"/>
      <c r="D6" s="46" t="s">
        <v>27</v>
      </c>
      <c r="E6" s="57" t="s">
        <v>324</v>
      </c>
      <c r="F6" s="46" t="s">
        <v>21</v>
      </c>
      <c r="G6" s="24"/>
      <c r="H6" s="57" t="s">
        <v>8</v>
      </c>
      <c r="I6" s="57" t="s">
        <v>139</v>
      </c>
      <c r="J6" s="24" t="s">
        <v>153</v>
      </c>
      <c r="K6" s="24" t="s">
        <v>141</v>
      </c>
      <c r="L6" s="24">
        <v>100</v>
      </c>
      <c r="M6" s="76" t="s">
        <v>160</v>
      </c>
      <c r="N6" s="24"/>
      <c r="O6" s="24" t="s">
        <v>28</v>
      </c>
      <c r="P6" s="46">
        <v>12833</v>
      </c>
      <c r="Q6" s="25">
        <v>12974.22</v>
      </c>
      <c r="R6" s="61">
        <v>45520</v>
      </c>
      <c r="S6" s="61">
        <v>45535</v>
      </c>
      <c r="T6" s="61"/>
      <c r="U6" s="24" t="s">
        <v>34</v>
      </c>
      <c r="V6" s="46" t="s">
        <v>213</v>
      </c>
      <c r="W6" s="23">
        <f>sales[[#This Row],[ميعاد التسليم]]-sales[[#This Row],[ميعاد الطلب]]</f>
        <v>15</v>
      </c>
      <c r="X6" s="32">
        <f>sales[[#This Row],[تاريخ التسليم]]-sales[[#This Row],[ميعاد التسليم]]</f>
        <v>-45535</v>
      </c>
      <c r="Y6" s="32" t="str">
        <f>IF(sales[[#This Row],[فرق البضاغه المتسلمه]]&lt;=2,"تم تسليم فى الموعد","تسليم متاخر")</f>
        <v>تم تسليم فى الموعد</v>
      </c>
    </row>
    <row r="7" spans="1:28" ht="20.100000000000001" customHeight="1" x14ac:dyDescent="0.25">
      <c r="A7" s="35">
        <v>6</v>
      </c>
      <c r="B7" s="21"/>
      <c r="C7" s="21"/>
      <c r="D7" s="46" t="s">
        <v>29</v>
      </c>
      <c r="E7" s="57" t="s">
        <v>325</v>
      </c>
      <c r="F7" s="46" t="s">
        <v>205</v>
      </c>
      <c r="G7" s="21"/>
      <c r="H7" s="46" t="s">
        <v>29</v>
      </c>
      <c r="I7" s="46" t="s">
        <v>154</v>
      </c>
      <c r="J7" s="21" t="s">
        <v>152</v>
      </c>
      <c r="K7" s="21"/>
      <c r="L7" s="21"/>
      <c r="M7" s="76" t="s">
        <v>160</v>
      </c>
      <c r="N7" s="21"/>
      <c r="O7" s="21" t="s">
        <v>30</v>
      </c>
      <c r="P7" s="46">
        <v>14550</v>
      </c>
      <c r="Q7" s="23" t="s">
        <v>16</v>
      </c>
      <c r="R7" s="61">
        <v>45518</v>
      </c>
      <c r="S7" s="61">
        <v>45538</v>
      </c>
      <c r="T7" s="61">
        <v>45540</v>
      </c>
      <c r="U7" s="21" t="s">
        <v>26</v>
      </c>
      <c r="V7" s="46" t="s">
        <v>183</v>
      </c>
      <c r="W7" s="23">
        <f>sales[[#This Row],[ميعاد التسليم]]-sales[[#This Row],[ميعاد الطلب]]</f>
        <v>20</v>
      </c>
      <c r="X7" s="32">
        <f>sales[[#This Row],[تاريخ التسليم]]-sales[[#This Row],[ميعاد التسليم]]</f>
        <v>2</v>
      </c>
      <c r="Y7" s="32" t="str">
        <f>IF(sales[[#This Row],[فرق البضاغه المتسلمه]]&lt;=2,"تم تسليم فى الموعد","تسليم متاخر")</f>
        <v>تم تسليم فى الموعد</v>
      </c>
    </row>
    <row r="8" spans="1:28" ht="20.100000000000001" customHeight="1" x14ac:dyDescent="0.25">
      <c r="A8" s="35">
        <v>7</v>
      </c>
      <c r="B8" s="21"/>
      <c r="C8" s="21"/>
      <c r="D8" s="46" t="s">
        <v>31</v>
      </c>
      <c r="E8" s="57" t="s">
        <v>324</v>
      </c>
      <c r="F8" s="46" t="s">
        <v>32</v>
      </c>
      <c r="G8" s="21"/>
      <c r="H8" s="46" t="s">
        <v>250</v>
      </c>
      <c r="I8" s="46" t="s">
        <v>154</v>
      </c>
      <c r="J8" s="21" t="s">
        <v>152</v>
      </c>
      <c r="K8" s="21"/>
      <c r="L8" s="21"/>
      <c r="M8" s="76" t="s">
        <v>160</v>
      </c>
      <c r="N8" s="21"/>
      <c r="O8" s="21" t="s">
        <v>30</v>
      </c>
      <c r="P8" s="46">
        <v>12000</v>
      </c>
      <c r="Q8" s="23">
        <v>12000</v>
      </c>
      <c r="R8" s="61">
        <v>45521</v>
      </c>
      <c r="S8" s="61">
        <v>45524</v>
      </c>
      <c r="T8" s="61">
        <v>45523</v>
      </c>
      <c r="U8" s="21" t="s">
        <v>33</v>
      </c>
      <c r="V8" s="46" t="s">
        <v>183</v>
      </c>
      <c r="W8" s="23">
        <f>sales[[#This Row],[ميعاد التسليم]]-sales[[#This Row],[ميعاد الطلب]]</f>
        <v>3</v>
      </c>
      <c r="X8" s="32">
        <f>sales[[#This Row],[تاريخ التسليم]]-sales[[#This Row],[ميعاد التسليم]]</f>
        <v>-1</v>
      </c>
      <c r="Y8" s="32" t="str">
        <f>IF(sales[[#This Row],[فرق البضاغه المتسلمه]]&lt;=2,"تم تسليم فى الموعد","تسليم متاخر")</f>
        <v>تم تسليم فى الموعد</v>
      </c>
    </row>
    <row r="9" spans="1:28" ht="20.100000000000001" customHeight="1" x14ac:dyDescent="0.25">
      <c r="A9" s="35">
        <v>8</v>
      </c>
      <c r="B9" s="21"/>
      <c r="C9" s="21"/>
      <c r="D9" s="46" t="s">
        <v>35</v>
      </c>
      <c r="E9" s="57" t="s">
        <v>324</v>
      </c>
      <c r="F9" s="46" t="s">
        <v>36</v>
      </c>
      <c r="G9" s="21"/>
      <c r="H9" s="57" t="s">
        <v>8</v>
      </c>
      <c r="I9" s="57" t="s">
        <v>139</v>
      </c>
      <c r="J9" s="21" t="s">
        <v>142</v>
      </c>
      <c r="K9" s="21"/>
      <c r="L9" s="21"/>
      <c r="M9" s="76" t="s">
        <v>155</v>
      </c>
      <c r="N9" s="21"/>
      <c r="O9" s="21" t="s">
        <v>37</v>
      </c>
      <c r="P9" s="46">
        <v>7228</v>
      </c>
      <c r="Q9" s="23" t="s">
        <v>16</v>
      </c>
      <c r="R9" s="61">
        <v>45529</v>
      </c>
      <c r="S9" s="61">
        <v>45538</v>
      </c>
      <c r="T9" s="61">
        <v>45545</v>
      </c>
      <c r="U9" s="21" t="s">
        <v>26</v>
      </c>
      <c r="V9" s="46" t="s">
        <v>183</v>
      </c>
      <c r="W9" s="23">
        <f>sales[[#This Row],[ميعاد التسليم]]-sales[[#This Row],[ميعاد الطلب]]</f>
        <v>9</v>
      </c>
      <c r="X9" s="32">
        <f>sales[[#This Row],[تاريخ التسليم]]-sales[[#This Row],[ميعاد التسليم]]</f>
        <v>7</v>
      </c>
      <c r="Y9" s="32" t="str">
        <f>IF(sales[[#This Row],[فرق البضاغه المتسلمه]]&lt;=2,"تم تسليم فى الموعد","تسليم متاخر")</f>
        <v>تسليم متاخر</v>
      </c>
    </row>
    <row r="10" spans="1:28" ht="20.100000000000001" customHeight="1" x14ac:dyDescent="0.25">
      <c r="A10" s="35">
        <v>9</v>
      </c>
      <c r="B10" s="21"/>
      <c r="C10" s="21"/>
      <c r="D10" s="46" t="s">
        <v>38</v>
      </c>
      <c r="E10" s="57" t="s">
        <v>325</v>
      </c>
      <c r="F10" s="46" t="s">
        <v>39</v>
      </c>
      <c r="G10" s="21"/>
      <c r="H10" s="46" t="s">
        <v>40</v>
      </c>
      <c r="I10" s="46" t="s">
        <v>147</v>
      </c>
      <c r="J10" s="21" t="s">
        <v>149</v>
      </c>
      <c r="K10" s="21"/>
      <c r="L10" s="21"/>
      <c r="M10" s="76" t="s">
        <v>223</v>
      </c>
      <c r="N10" s="21"/>
      <c r="O10" s="21" t="s">
        <v>41</v>
      </c>
      <c r="P10" s="46">
        <v>22000</v>
      </c>
      <c r="Q10" s="23">
        <v>22000</v>
      </c>
      <c r="R10" s="61">
        <v>45523</v>
      </c>
      <c r="S10" s="61">
        <v>45536</v>
      </c>
      <c r="T10" s="61">
        <v>45552</v>
      </c>
      <c r="U10" s="21"/>
      <c r="V10" s="46" t="s">
        <v>183</v>
      </c>
      <c r="W10" s="23">
        <f>sales[[#This Row],[ميعاد التسليم]]-sales[[#This Row],[ميعاد الطلب]]</f>
        <v>13</v>
      </c>
      <c r="X10" s="32">
        <f>sales[[#This Row],[تاريخ التسليم]]-sales[[#This Row],[ميعاد التسليم]]</f>
        <v>16</v>
      </c>
      <c r="Y10" s="32" t="str">
        <f>IF(sales[[#This Row],[فرق البضاغه المتسلمه]]&lt;=2,"تم تسليم فى الموعد","تسليم متاخر")</f>
        <v>تسليم متاخر</v>
      </c>
    </row>
    <row r="11" spans="1:28" ht="20.100000000000001" customHeight="1" x14ac:dyDescent="0.25">
      <c r="A11" s="29">
        <v>10</v>
      </c>
      <c r="B11" s="26"/>
      <c r="C11" s="26"/>
      <c r="D11" s="46" t="s">
        <v>38</v>
      </c>
      <c r="E11" s="57" t="s">
        <v>325</v>
      </c>
      <c r="F11" s="46" t="s">
        <v>39</v>
      </c>
      <c r="G11" s="26"/>
      <c r="H11" s="46" t="s">
        <v>40</v>
      </c>
      <c r="I11" s="46" t="s">
        <v>154</v>
      </c>
      <c r="J11" s="26" t="s">
        <v>148</v>
      </c>
      <c r="K11" s="26"/>
      <c r="L11" s="26"/>
      <c r="M11" s="76" t="s">
        <v>156</v>
      </c>
      <c r="N11" s="26"/>
      <c r="O11" s="26" t="s">
        <v>42</v>
      </c>
      <c r="P11" s="46">
        <v>16000</v>
      </c>
      <c r="Q11" s="27">
        <v>16000</v>
      </c>
      <c r="R11" s="61" t="s">
        <v>300</v>
      </c>
      <c r="S11" s="61" t="s">
        <v>300</v>
      </c>
      <c r="T11" s="61" t="s">
        <v>300</v>
      </c>
      <c r="U11" s="26" t="s">
        <v>101</v>
      </c>
      <c r="V11" s="46" t="s">
        <v>213</v>
      </c>
      <c r="W11" s="23" t="e">
        <f>sales[[#This Row],[ميعاد التسليم]]-sales[[#This Row],[ميعاد الطلب]]</f>
        <v>#VALUE!</v>
      </c>
      <c r="X11" s="32" t="e">
        <f>sales[[#This Row],[تاريخ التسليم]]-sales[[#This Row],[ميعاد التسليم]]</f>
        <v>#VALUE!</v>
      </c>
      <c r="Y11" s="32" t="e">
        <f>IF(sales[[#This Row],[فرق البضاغه المتسلمه]]&lt;=2,"تم تسليم فى الموعد","تسليم متاخر")</f>
        <v>#VALUE!</v>
      </c>
    </row>
    <row r="12" spans="1:28" ht="20.100000000000001" customHeight="1" x14ac:dyDescent="0.25">
      <c r="A12" s="35">
        <v>11</v>
      </c>
      <c r="B12" s="21"/>
      <c r="C12" s="21"/>
      <c r="D12" s="46" t="s">
        <v>38</v>
      </c>
      <c r="E12" s="57" t="s">
        <v>325</v>
      </c>
      <c r="F12" s="46" t="s">
        <v>39</v>
      </c>
      <c r="G12" s="21"/>
      <c r="H12" s="46" t="s">
        <v>40</v>
      </c>
      <c r="I12" s="46" t="s">
        <v>154</v>
      </c>
      <c r="J12" s="21" t="s">
        <v>148</v>
      </c>
      <c r="K12" s="21"/>
      <c r="L12" s="21"/>
      <c r="M12" s="76" t="s">
        <v>156</v>
      </c>
      <c r="N12" s="21"/>
      <c r="O12" s="21" t="s">
        <v>43</v>
      </c>
      <c r="P12" s="46">
        <v>6000</v>
      </c>
      <c r="Q12" s="23">
        <v>12000</v>
      </c>
      <c r="R12" s="61">
        <v>45529</v>
      </c>
      <c r="S12" s="61">
        <v>45550</v>
      </c>
      <c r="T12" s="61">
        <v>45552</v>
      </c>
      <c r="U12" s="21" t="s">
        <v>184</v>
      </c>
      <c r="V12" s="46" t="s">
        <v>183</v>
      </c>
      <c r="W12" s="23">
        <f>sales[[#This Row],[ميعاد التسليم]]-sales[[#This Row],[ميعاد الطلب]]</f>
        <v>21</v>
      </c>
      <c r="X12" s="32">
        <f>sales[[#This Row],[تاريخ التسليم]]-sales[[#This Row],[ميعاد التسليم]]</f>
        <v>2</v>
      </c>
      <c r="Y12" s="32" t="str">
        <f>IF(sales[[#This Row],[فرق البضاغه المتسلمه]]&lt;=2,"تم تسليم فى الموعد","تسليم متاخر")</f>
        <v>تم تسليم فى الموعد</v>
      </c>
      <c r="AA12" s="90" t="s">
        <v>328</v>
      </c>
      <c r="AB12" s="90" t="s">
        <v>329</v>
      </c>
    </row>
    <row r="13" spans="1:28" ht="20.100000000000001" customHeight="1" x14ac:dyDescent="0.25">
      <c r="A13" s="35">
        <v>12</v>
      </c>
      <c r="B13" s="21"/>
      <c r="C13" s="21"/>
      <c r="D13" s="46" t="s">
        <v>38</v>
      </c>
      <c r="E13" s="57" t="s">
        <v>325</v>
      </c>
      <c r="F13" s="46" t="s">
        <v>39</v>
      </c>
      <c r="G13" s="21"/>
      <c r="H13" s="46" t="s">
        <v>40</v>
      </c>
      <c r="I13" s="46" t="s">
        <v>154</v>
      </c>
      <c r="J13" s="21" t="s">
        <v>148</v>
      </c>
      <c r="K13" s="21"/>
      <c r="L13" s="21"/>
      <c r="M13" s="76" t="s">
        <v>156</v>
      </c>
      <c r="N13" s="21"/>
      <c r="O13" s="21" t="s">
        <v>43</v>
      </c>
      <c r="P13" s="46">
        <v>6000</v>
      </c>
      <c r="Q13" s="23">
        <v>12000</v>
      </c>
      <c r="R13" s="61">
        <v>45529</v>
      </c>
      <c r="S13" s="61">
        <v>45550</v>
      </c>
      <c r="T13" s="61">
        <v>45552</v>
      </c>
      <c r="U13" s="21" t="s">
        <v>184</v>
      </c>
      <c r="V13" s="46" t="s">
        <v>183</v>
      </c>
      <c r="W13" s="23">
        <f>sales[[#This Row],[ميعاد التسليم]]-sales[[#This Row],[ميعاد الطلب]]</f>
        <v>21</v>
      </c>
      <c r="X13" s="32">
        <f>sales[[#This Row],[تاريخ التسليم]]-sales[[#This Row],[ميعاد التسليم]]</f>
        <v>2</v>
      </c>
      <c r="Y13" s="32" t="str">
        <f>IF(sales[[#This Row],[فرق البضاغه المتسلمه]]&lt;=2,"تم تسليم فى الموعد","تسليم متاخر")</f>
        <v>تم تسليم فى الموعد</v>
      </c>
      <c r="AA13" s="90" t="s">
        <v>326</v>
      </c>
      <c r="AB13" s="90">
        <f>COUNTIF(sales[اسم شخص],"شخص")</f>
        <v>86</v>
      </c>
    </row>
    <row r="14" spans="1:28" ht="20.100000000000001" customHeight="1" x14ac:dyDescent="0.25">
      <c r="A14" s="35">
        <v>13</v>
      </c>
      <c r="B14" s="21"/>
      <c r="C14" s="21"/>
      <c r="D14" s="46" t="s">
        <v>44</v>
      </c>
      <c r="E14" s="57" t="s">
        <v>324</v>
      </c>
      <c r="F14" s="46" t="s">
        <v>45</v>
      </c>
      <c r="G14" s="21"/>
      <c r="H14" s="57" t="s">
        <v>8</v>
      </c>
      <c r="I14" s="57" t="s">
        <v>139</v>
      </c>
      <c r="J14" s="21" t="s">
        <v>153</v>
      </c>
      <c r="K14" s="21" t="s">
        <v>141</v>
      </c>
      <c r="L14" s="21">
        <v>80</v>
      </c>
      <c r="M14" s="76" t="s">
        <v>155</v>
      </c>
      <c r="N14" s="21"/>
      <c r="O14" s="21" t="s">
        <v>46</v>
      </c>
      <c r="P14" s="46">
        <v>10499</v>
      </c>
      <c r="Q14" s="23">
        <v>8924</v>
      </c>
      <c r="R14" s="61">
        <v>45536</v>
      </c>
      <c r="S14" s="61">
        <v>45551</v>
      </c>
      <c r="T14" s="61">
        <v>45543</v>
      </c>
      <c r="U14" s="21" t="s">
        <v>26</v>
      </c>
      <c r="V14" s="46" t="s">
        <v>183</v>
      </c>
      <c r="W14" s="23">
        <f>sales[[#This Row],[ميعاد التسليم]]-sales[[#This Row],[ميعاد الطلب]]</f>
        <v>15</v>
      </c>
      <c r="X14" s="32">
        <f>sales[[#This Row],[تاريخ التسليم]]-sales[[#This Row],[ميعاد التسليم]]</f>
        <v>-8</v>
      </c>
      <c r="Y14" s="32" t="str">
        <f>IF(sales[[#This Row],[فرق البضاغه المتسلمه]]&lt;=2,"تم تسليم فى الموعد","تسليم متاخر")</f>
        <v>تم تسليم فى الموعد</v>
      </c>
      <c r="AA14" s="90" t="s">
        <v>327</v>
      </c>
      <c r="AB14" s="90">
        <f>COUNTIF(sales[اسم شخص],"شركة")</f>
        <v>39</v>
      </c>
    </row>
    <row r="15" spans="1:28" ht="20.100000000000001" customHeight="1" x14ac:dyDescent="0.25">
      <c r="A15" s="29">
        <v>14</v>
      </c>
      <c r="B15" s="28">
        <v>1404561</v>
      </c>
      <c r="C15" s="28">
        <v>1199284</v>
      </c>
      <c r="D15" s="46" t="s">
        <v>60</v>
      </c>
      <c r="E15" s="57" t="s">
        <v>324</v>
      </c>
      <c r="F15" s="46" t="s">
        <v>36</v>
      </c>
      <c r="G15" s="26"/>
      <c r="H15" s="57" t="s">
        <v>8</v>
      </c>
      <c r="I15" s="57" t="s">
        <v>139</v>
      </c>
      <c r="J15" s="26" t="s">
        <v>142</v>
      </c>
      <c r="K15" s="26" t="s">
        <v>141</v>
      </c>
      <c r="L15" s="26">
        <v>80</v>
      </c>
      <c r="M15" s="76" t="s">
        <v>155</v>
      </c>
      <c r="N15" s="26"/>
      <c r="O15" s="26" t="s">
        <v>61</v>
      </c>
      <c r="P15" s="46">
        <v>7295</v>
      </c>
      <c r="Q15" s="27">
        <v>5895</v>
      </c>
      <c r="R15" s="61">
        <v>45540</v>
      </c>
      <c r="S15" s="61">
        <v>45549</v>
      </c>
      <c r="T15" s="61"/>
      <c r="U15" s="26"/>
      <c r="V15" s="46" t="s">
        <v>213</v>
      </c>
      <c r="W15" s="23">
        <f>sales[[#This Row],[ميعاد التسليم]]-sales[[#This Row],[ميعاد الطلب]]</f>
        <v>9</v>
      </c>
      <c r="X15" s="32">
        <f>sales[[#This Row],[تاريخ التسليم]]-sales[[#This Row],[ميعاد التسليم]]</f>
        <v>-45549</v>
      </c>
      <c r="Y15" s="32" t="str">
        <f>IF(sales[[#This Row],[فرق البضاغه المتسلمه]]&lt;=2,"تم تسليم فى الموعد","تسليم متاخر")</f>
        <v>تم تسليم فى الموعد</v>
      </c>
    </row>
    <row r="16" spans="1:28" ht="20.100000000000001" customHeight="1" x14ac:dyDescent="0.25">
      <c r="A16" s="31">
        <v>15</v>
      </c>
      <c r="B16" s="30">
        <v>1401137</v>
      </c>
      <c r="C16" s="30">
        <v>1197500</v>
      </c>
      <c r="D16" s="46" t="s">
        <v>56</v>
      </c>
      <c r="E16" s="57" t="s">
        <v>324</v>
      </c>
      <c r="F16" s="46" t="s">
        <v>57</v>
      </c>
      <c r="G16" s="24"/>
      <c r="H16" s="57" t="s">
        <v>8</v>
      </c>
      <c r="I16" s="46" t="s">
        <v>146</v>
      </c>
      <c r="J16" s="24" t="s">
        <v>175</v>
      </c>
      <c r="K16" s="24"/>
      <c r="L16" s="24"/>
      <c r="M16" s="76" t="s">
        <v>191</v>
      </c>
      <c r="N16" s="24"/>
      <c r="O16" s="24" t="s">
        <v>58</v>
      </c>
      <c r="P16" s="46">
        <v>7849</v>
      </c>
      <c r="Q16" s="25" t="s">
        <v>16</v>
      </c>
      <c r="R16" s="61">
        <v>45539</v>
      </c>
      <c r="S16" s="61">
        <v>45551</v>
      </c>
      <c r="T16" s="61">
        <v>45560</v>
      </c>
      <c r="U16" s="24" t="s">
        <v>26</v>
      </c>
      <c r="V16" s="46" t="s">
        <v>213</v>
      </c>
      <c r="W16" s="23">
        <f>sales[[#This Row],[ميعاد التسليم]]-sales[[#This Row],[ميعاد الطلب]]</f>
        <v>12</v>
      </c>
      <c r="X16" s="32">
        <f>sales[[#This Row],[تاريخ التسليم]]-sales[[#This Row],[ميعاد التسليم]]</f>
        <v>9</v>
      </c>
      <c r="Y16" s="32" t="str">
        <f>IF(sales[[#This Row],[فرق البضاغه المتسلمه]]&lt;=2,"تم تسليم فى الموعد","تسليم متاخر")</f>
        <v>تسليم متاخر</v>
      </c>
    </row>
    <row r="17" spans="1:25" ht="20.100000000000001" customHeight="1" x14ac:dyDescent="0.25">
      <c r="A17" s="52">
        <v>16</v>
      </c>
      <c r="B17" s="20"/>
      <c r="C17" s="20"/>
      <c r="D17" s="57" t="s">
        <v>50</v>
      </c>
      <c r="E17" s="57" t="s">
        <v>324</v>
      </c>
      <c r="F17" s="46" t="s">
        <v>32</v>
      </c>
      <c r="G17" s="20"/>
      <c r="H17" s="57" t="s">
        <v>51</v>
      </c>
      <c r="I17" s="57" t="s">
        <v>139</v>
      </c>
      <c r="J17" s="20" t="s">
        <v>153</v>
      </c>
      <c r="K17" s="21" t="s">
        <v>144</v>
      </c>
      <c r="L17" s="21">
        <v>120</v>
      </c>
      <c r="M17" s="76" t="s">
        <v>156</v>
      </c>
      <c r="N17" s="21"/>
      <c r="O17" s="21" t="s">
        <v>52</v>
      </c>
      <c r="P17" s="46">
        <v>6180</v>
      </c>
      <c r="Q17" s="22">
        <v>9700</v>
      </c>
      <c r="R17" s="62">
        <v>45538</v>
      </c>
      <c r="S17" s="62">
        <v>45551</v>
      </c>
      <c r="T17" s="62">
        <v>45550</v>
      </c>
      <c r="U17" s="21" t="s">
        <v>184</v>
      </c>
      <c r="V17" s="46" t="s">
        <v>183</v>
      </c>
      <c r="W17" s="23">
        <f>sales[[#This Row],[ميعاد التسليم]]-sales[[#This Row],[ميعاد الطلب]]</f>
        <v>13</v>
      </c>
      <c r="X17" s="32">
        <f>sales[[#This Row],[تاريخ التسليم]]-sales[[#This Row],[ميعاد التسليم]]</f>
        <v>-1</v>
      </c>
      <c r="Y17" s="32" t="str">
        <f>IF(sales[[#This Row],[فرق البضاغه المتسلمه]]&lt;=2,"تم تسليم فى الموعد","تسليم متاخر")</f>
        <v>تم تسليم فى الموعد</v>
      </c>
    </row>
    <row r="18" spans="1:25" ht="20.100000000000001" customHeight="1" x14ac:dyDescent="0.25">
      <c r="A18" s="35">
        <v>17</v>
      </c>
      <c r="B18" s="32"/>
      <c r="C18" s="32"/>
      <c r="D18" s="46" t="s">
        <v>50</v>
      </c>
      <c r="E18" s="57" t="s">
        <v>324</v>
      </c>
      <c r="F18" s="46" t="s">
        <v>32</v>
      </c>
      <c r="G18" s="21"/>
      <c r="H18" s="46" t="s">
        <v>51</v>
      </c>
      <c r="I18" s="57" t="s">
        <v>139</v>
      </c>
      <c r="J18" s="21" t="s">
        <v>153</v>
      </c>
      <c r="K18" s="21" t="s">
        <v>144</v>
      </c>
      <c r="L18" s="21">
        <v>120</v>
      </c>
      <c r="M18" s="76" t="s">
        <v>156</v>
      </c>
      <c r="N18" s="21"/>
      <c r="O18" s="21" t="s">
        <v>52</v>
      </c>
      <c r="P18" s="46">
        <v>6180</v>
      </c>
      <c r="Q18" s="23">
        <v>9700</v>
      </c>
      <c r="R18" s="61">
        <v>45538</v>
      </c>
      <c r="S18" s="61">
        <v>45551</v>
      </c>
      <c r="T18" s="61">
        <v>45550</v>
      </c>
      <c r="U18" s="21" t="s">
        <v>184</v>
      </c>
      <c r="V18" s="46" t="s">
        <v>183</v>
      </c>
      <c r="W18" s="23">
        <f>sales[[#This Row],[ميعاد التسليم]]-sales[[#This Row],[ميعاد الطلب]]</f>
        <v>13</v>
      </c>
      <c r="X18" s="32">
        <f>sales[[#This Row],[تاريخ التسليم]]-sales[[#This Row],[ميعاد التسليم]]</f>
        <v>-1</v>
      </c>
      <c r="Y18" s="32" t="str">
        <f>IF(sales[[#This Row],[فرق البضاغه المتسلمه]]&lt;=2,"تم تسليم فى الموعد","تسليم متاخر")</f>
        <v>تم تسليم فى الموعد</v>
      </c>
    </row>
    <row r="19" spans="1:25" ht="20.100000000000001" customHeight="1" x14ac:dyDescent="0.25">
      <c r="A19" s="29">
        <v>18</v>
      </c>
      <c r="B19" s="33">
        <v>1400149</v>
      </c>
      <c r="C19" s="33">
        <v>1196947</v>
      </c>
      <c r="D19" s="46" t="s">
        <v>53</v>
      </c>
      <c r="E19" s="57" t="s">
        <v>325</v>
      </c>
      <c r="F19" s="46" t="s">
        <v>54</v>
      </c>
      <c r="G19" s="26"/>
      <c r="H19" s="57" t="s">
        <v>8</v>
      </c>
      <c r="I19" s="57" t="s">
        <v>139</v>
      </c>
      <c r="J19" s="26" t="s">
        <v>153</v>
      </c>
      <c r="K19" s="26" t="s">
        <v>143</v>
      </c>
      <c r="L19" s="26">
        <v>80</v>
      </c>
      <c r="M19" s="76" t="s">
        <v>155</v>
      </c>
      <c r="N19" s="26"/>
      <c r="O19" s="26" t="s">
        <v>55</v>
      </c>
      <c r="P19" s="46">
        <v>11199</v>
      </c>
      <c r="Q19" s="27">
        <v>11310</v>
      </c>
      <c r="R19" s="61">
        <v>45539</v>
      </c>
      <c r="S19" s="61">
        <v>45553</v>
      </c>
      <c r="T19" s="61"/>
      <c r="U19" s="26"/>
      <c r="V19" s="46" t="s">
        <v>213</v>
      </c>
      <c r="W19" s="23">
        <f>sales[[#This Row],[ميعاد التسليم]]-sales[[#This Row],[ميعاد الطلب]]</f>
        <v>14</v>
      </c>
      <c r="X19" s="32">
        <f>sales[[#This Row],[تاريخ التسليم]]-sales[[#This Row],[ميعاد التسليم]]</f>
        <v>-45553</v>
      </c>
      <c r="Y19" s="32" t="str">
        <f>IF(sales[[#This Row],[فرق البضاغه المتسلمه]]&lt;=2,"تم تسليم فى الموعد","تسليم متاخر")</f>
        <v>تم تسليم فى الموعد</v>
      </c>
    </row>
    <row r="20" spans="1:25" ht="20.100000000000001" customHeight="1" x14ac:dyDescent="0.25">
      <c r="A20" s="35">
        <v>19</v>
      </c>
      <c r="B20" s="34">
        <v>1408099</v>
      </c>
      <c r="C20" s="34">
        <v>1201057</v>
      </c>
      <c r="D20" s="46" t="s">
        <v>31</v>
      </c>
      <c r="E20" s="57" t="s">
        <v>324</v>
      </c>
      <c r="F20" s="46" t="s">
        <v>62</v>
      </c>
      <c r="G20" s="21"/>
      <c r="H20" s="57" t="s">
        <v>8</v>
      </c>
      <c r="I20" s="57" t="s">
        <v>139</v>
      </c>
      <c r="J20" s="21" t="s">
        <v>142</v>
      </c>
      <c r="K20" s="21" t="s">
        <v>165</v>
      </c>
      <c r="L20" s="21">
        <v>80</v>
      </c>
      <c r="M20" s="76" t="s">
        <v>155</v>
      </c>
      <c r="N20" s="21"/>
      <c r="O20" s="21" t="s">
        <v>63</v>
      </c>
      <c r="P20" s="46">
        <v>7987</v>
      </c>
      <c r="Q20" s="23" t="s">
        <v>16</v>
      </c>
      <c r="R20" s="61">
        <v>45541</v>
      </c>
      <c r="S20" s="61">
        <v>45551</v>
      </c>
      <c r="T20" s="61">
        <v>45556</v>
      </c>
      <c r="U20" s="21" t="s">
        <v>184</v>
      </c>
      <c r="V20" s="46" t="s">
        <v>183</v>
      </c>
      <c r="W20" s="23">
        <f>sales[[#This Row],[ميعاد التسليم]]-sales[[#This Row],[ميعاد الطلب]]</f>
        <v>10</v>
      </c>
      <c r="X20" s="32">
        <f>sales[[#This Row],[تاريخ التسليم]]-sales[[#This Row],[ميعاد التسليم]]</f>
        <v>5</v>
      </c>
      <c r="Y20" s="32" t="str">
        <f>IF(sales[[#This Row],[فرق البضاغه المتسلمه]]&lt;=2,"تم تسليم فى الموعد","تسليم متاخر")</f>
        <v>تسليم متاخر</v>
      </c>
    </row>
    <row r="21" spans="1:25" ht="20.100000000000001" customHeight="1" x14ac:dyDescent="0.25">
      <c r="A21" s="52">
        <v>20</v>
      </c>
      <c r="B21" s="20"/>
      <c r="C21" s="20"/>
      <c r="D21" s="57" t="s">
        <v>40</v>
      </c>
      <c r="E21" s="57" t="s">
        <v>325</v>
      </c>
      <c r="F21" s="46" t="s">
        <v>39</v>
      </c>
      <c r="G21" s="20"/>
      <c r="H21" s="46" t="s">
        <v>40</v>
      </c>
      <c r="I21" s="57" t="s">
        <v>150</v>
      </c>
      <c r="J21" s="20" t="s">
        <v>151</v>
      </c>
      <c r="K21" s="20"/>
      <c r="L21" s="20"/>
      <c r="M21" s="75" t="s">
        <v>156</v>
      </c>
      <c r="N21" s="20"/>
      <c r="O21" s="20" t="s">
        <v>59</v>
      </c>
      <c r="P21" s="57">
        <v>9300</v>
      </c>
      <c r="Q21" s="22">
        <v>9300</v>
      </c>
      <c r="R21" s="62">
        <v>45539</v>
      </c>
      <c r="S21" s="62">
        <v>45550</v>
      </c>
      <c r="T21" s="62">
        <v>45552</v>
      </c>
      <c r="U21" s="21" t="s">
        <v>184</v>
      </c>
      <c r="V21" s="46" t="s">
        <v>183</v>
      </c>
      <c r="W21" s="23">
        <f>sales[[#This Row],[ميعاد التسليم]]-sales[[#This Row],[ميعاد الطلب]]</f>
        <v>11</v>
      </c>
      <c r="X21" s="32">
        <f>sales[[#This Row],[تاريخ التسليم]]-sales[[#This Row],[ميعاد التسليم]]</f>
        <v>2</v>
      </c>
      <c r="Y21" s="32" t="str">
        <f>IF(sales[[#This Row],[فرق البضاغه المتسلمه]]&lt;=2,"تم تسليم فى الموعد","تسليم متاخر")</f>
        <v>تم تسليم فى الموعد</v>
      </c>
    </row>
    <row r="22" spans="1:25" ht="20.100000000000001" customHeight="1" x14ac:dyDescent="0.25">
      <c r="A22" s="35">
        <v>21</v>
      </c>
      <c r="B22" s="34">
        <v>1408098</v>
      </c>
      <c r="C22" s="34">
        <v>1201057</v>
      </c>
      <c r="D22" s="46" t="s">
        <v>31</v>
      </c>
      <c r="E22" s="57" t="s">
        <v>324</v>
      </c>
      <c r="F22" s="46" t="s">
        <v>62</v>
      </c>
      <c r="G22" s="21"/>
      <c r="H22" s="57" t="s">
        <v>8</v>
      </c>
      <c r="I22" s="57" t="s">
        <v>139</v>
      </c>
      <c r="J22" s="21" t="s">
        <v>142</v>
      </c>
      <c r="K22" s="21" t="s">
        <v>165</v>
      </c>
      <c r="L22" s="21">
        <v>80</v>
      </c>
      <c r="M22" s="76" t="s">
        <v>155</v>
      </c>
      <c r="N22" s="21"/>
      <c r="O22" s="21" t="s">
        <v>63</v>
      </c>
      <c r="P22" s="46">
        <v>7987</v>
      </c>
      <c r="Q22" s="23" t="s">
        <v>16</v>
      </c>
      <c r="R22" s="61">
        <v>45541</v>
      </c>
      <c r="S22" s="61">
        <v>45551</v>
      </c>
      <c r="T22" s="61">
        <v>45556</v>
      </c>
      <c r="U22" s="21" t="s">
        <v>184</v>
      </c>
      <c r="V22" s="46" t="s">
        <v>183</v>
      </c>
      <c r="W22" s="23">
        <f>sales[[#This Row],[ميعاد التسليم]]-sales[[#This Row],[ميعاد الطلب]]</f>
        <v>10</v>
      </c>
      <c r="X22" s="32">
        <f>sales[[#This Row],[تاريخ التسليم]]-sales[[#This Row],[ميعاد التسليم]]</f>
        <v>5</v>
      </c>
      <c r="Y22" s="32" t="str">
        <f>IF(sales[[#This Row],[فرق البضاغه المتسلمه]]&lt;=2,"تم تسليم فى الموعد","تسليم متاخر")</f>
        <v>تسليم متاخر</v>
      </c>
    </row>
    <row r="23" spans="1:25" ht="20.100000000000001" customHeight="1" x14ac:dyDescent="0.25">
      <c r="A23" s="35">
        <v>22</v>
      </c>
      <c r="B23" s="34">
        <v>1408100</v>
      </c>
      <c r="C23" s="34">
        <v>1201057</v>
      </c>
      <c r="D23" s="46" t="s">
        <v>31</v>
      </c>
      <c r="E23" s="57" t="s">
        <v>324</v>
      </c>
      <c r="F23" s="46" t="s">
        <v>62</v>
      </c>
      <c r="G23" s="21"/>
      <c r="H23" s="57" t="s">
        <v>8</v>
      </c>
      <c r="I23" s="57" t="s">
        <v>139</v>
      </c>
      <c r="J23" s="21" t="s">
        <v>142</v>
      </c>
      <c r="K23" s="21" t="s">
        <v>165</v>
      </c>
      <c r="L23" s="21">
        <v>80</v>
      </c>
      <c r="M23" s="76" t="s">
        <v>155</v>
      </c>
      <c r="N23" s="21"/>
      <c r="O23" s="21" t="s">
        <v>63</v>
      </c>
      <c r="P23" s="46">
        <v>7987</v>
      </c>
      <c r="Q23" s="23" t="s">
        <v>16</v>
      </c>
      <c r="R23" s="61">
        <v>45541</v>
      </c>
      <c r="S23" s="61">
        <v>45551</v>
      </c>
      <c r="T23" s="61">
        <v>45556</v>
      </c>
      <c r="U23" s="21" t="s">
        <v>184</v>
      </c>
      <c r="V23" s="46" t="s">
        <v>183</v>
      </c>
      <c r="W23" s="23">
        <f>sales[[#This Row],[ميعاد التسليم]]-sales[[#This Row],[ميعاد الطلب]]</f>
        <v>10</v>
      </c>
      <c r="X23" s="32">
        <f>sales[[#This Row],[تاريخ التسليم]]-sales[[#This Row],[ميعاد التسليم]]</f>
        <v>5</v>
      </c>
      <c r="Y23" s="32" t="str">
        <f>IF(sales[[#This Row],[فرق البضاغه المتسلمه]]&lt;=2,"تم تسليم فى الموعد","تسليم متاخر")</f>
        <v>تسليم متاخر</v>
      </c>
    </row>
    <row r="24" spans="1:25" ht="20.100000000000001" customHeight="1" x14ac:dyDescent="0.25">
      <c r="A24" s="35">
        <v>23</v>
      </c>
      <c r="B24" s="34">
        <v>1408101</v>
      </c>
      <c r="C24" s="34">
        <v>1201057</v>
      </c>
      <c r="D24" s="46" t="s">
        <v>31</v>
      </c>
      <c r="E24" s="57" t="s">
        <v>324</v>
      </c>
      <c r="F24" s="46" t="s">
        <v>62</v>
      </c>
      <c r="G24" s="21"/>
      <c r="H24" s="57" t="s">
        <v>8</v>
      </c>
      <c r="I24" s="57" t="s">
        <v>139</v>
      </c>
      <c r="J24" s="21" t="s">
        <v>142</v>
      </c>
      <c r="K24" s="21" t="s">
        <v>165</v>
      </c>
      <c r="L24" s="21">
        <v>80</v>
      </c>
      <c r="M24" s="76" t="s">
        <v>155</v>
      </c>
      <c r="N24" s="21"/>
      <c r="O24" s="21" t="s">
        <v>63</v>
      </c>
      <c r="P24" s="46">
        <v>7987</v>
      </c>
      <c r="Q24" s="23" t="s">
        <v>16</v>
      </c>
      <c r="R24" s="61">
        <v>45541</v>
      </c>
      <c r="S24" s="61">
        <v>45551</v>
      </c>
      <c r="T24" s="61">
        <v>45556</v>
      </c>
      <c r="U24" s="21" t="s">
        <v>184</v>
      </c>
      <c r="V24" s="46" t="s">
        <v>183</v>
      </c>
      <c r="W24" s="23">
        <f>sales[[#This Row],[ميعاد التسليم]]-sales[[#This Row],[ميعاد الطلب]]</f>
        <v>10</v>
      </c>
      <c r="X24" s="32">
        <f>sales[[#This Row],[تاريخ التسليم]]-sales[[#This Row],[ميعاد التسليم]]</f>
        <v>5</v>
      </c>
      <c r="Y24" s="32" t="str">
        <f>IF(sales[[#This Row],[فرق البضاغه المتسلمه]]&lt;=2,"تم تسليم فى الموعد","تسليم متاخر")</f>
        <v>تسليم متاخر</v>
      </c>
    </row>
    <row r="25" spans="1:25" ht="20.100000000000001" customHeight="1" x14ac:dyDescent="0.25">
      <c r="A25" s="29">
        <v>24</v>
      </c>
      <c r="B25" s="28">
        <v>1513856</v>
      </c>
      <c r="C25" s="28">
        <v>1231946</v>
      </c>
      <c r="D25" s="58" t="s">
        <v>98</v>
      </c>
      <c r="E25" s="57" t="s">
        <v>324</v>
      </c>
      <c r="F25" s="58" t="s">
        <v>99</v>
      </c>
      <c r="G25" s="36"/>
      <c r="H25" s="57" t="s">
        <v>8</v>
      </c>
      <c r="I25" s="46" t="s">
        <v>146</v>
      </c>
      <c r="J25" s="26" t="s">
        <v>175</v>
      </c>
      <c r="K25" s="36"/>
      <c r="L25" s="36"/>
      <c r="M25" s="76" t="s">
        <v>191</v>
      </c>
      <c r="N25" s="36"/>
      <c r="O25" s="36" t="s">
        <v>58</v>
      </c>
      <c r="P25" s="58">
        <v>8849</v>
      </c>
      <c r="Q25" s="37" t="s">
        <v>16</v>
      </c>
      <c r="R25" s="63">
        <v>45538</v>
      </c>
      <c r="S25" s="63">
        <v>45581</v>
      </c>
      <c r="T25" s="63"/>
      <c r="U25" s="36"/>
      <c r="V25" s="46" t="s">
        <v>213</v>
      </c>
      <c r="W25" s="23">
        <f>sales[[#This Row],[ميعاد التسليم]]-sales[[#This Row],[ميعاد الطلب]]</f>
        <v>43</v>
      </c>
      <c r="X25" s="32">
        <f>sales[[#This Row],[تاريخ التسليم]]-sales[[#This Row],[ميعاد التسليم]]</f>
        <v>-45581</v>
      </c>
      <c r="Y25" s="32" t="str">
        <f>IF(sales[[#This Row],[فرق البضاغه المتسلمه]]&lt;=2,"تم تسليم فى الموعد","تسليم متاخر")</f>
        <v>تم تسليم فى الموعد</v>
      </c>
    </row>
    <row r="26" spans="1:25" ht="20.100000000000001" customHeight="1" x14ac:dyDescent="0.25">
      <c r="A26" s="35">
        <v>25</v>
      </c>
      <c r="B26" s="34">
        <v>1411691</v>
      </c>
      <c r="C26" s="34">
        <v>1202775</v>
      </c>
      <c r="D26" s="46" t="s">
        <v>64</v>
      </c>
      <c r="E26" s="57" t="s">
        <v>324</v>
      </c>
      <c r="F26" s="46" t="s">
        <v>36</v>
      </c>
      <c r="G26" s="21"/>
      <c r="H26" s="57" t="s">
        <v>8</v>
      </c>
      <c r="I26" s="57" t="s">
        <v>139</v>
      </c>
      <c r="J26" s="21" t="s">
        <v>142</v>
      </c>
      <c r="K26" s="21" t="s">
        <v>145</v>
      </c>
      <c r="L26" s="21">
        <v>120</v>
      </c>
      <c r="M26" s="76" t="s">
        <v>155</v>
      </c>
      <c r="N26" s="21"/>
      <c r="O26" s="21" t="s">
        <v>65</v>
      </c>
      <c r="P26" s="46">
        <v>10987</v>
      </c>
      <c r="Q26" s="23" t="s">
        <v>16</v>
      </c>
      <c r="R26" s="61">
        <v>45544</v>
      </c>
      <c r="S26" s="61">
        <v>45552</v>
      </c>
      <c r="T26" s="61">
        <v>45556</v>
      </c>
      <c r="U26" s="21" t="s">
        <v>184</v>
      </c>
      <c r="V26" s="46" t="s">
        <v>183</v>
      </c>
      <c r="W26" s="23">
        <f>sales[[#This Row],[ميعاد التسليم]]-sales[[#This Row],[ميعاد الطلب]]</f>
        <v>8</v>
      </c>
      <c r="X26" s="32">
        <f>sales[[#This Row],[تاريخ التسليم]]-sales[[#This Row],[ميعاد التسليم]]</f>
        <v>4</v>
      </c>
      <c r="Y26" s="32" t="str">
        <f>IF(sales[[#This Row],[فرق البضاغه المتسلمه]]&lt;=2,"تم تسليم فى الموعد","تسليم متاخر")</f>
        <v>تسليم متاخر</v>
      </c>
    </row>
    <row r="27" spans="1:25" ht="20.100000000000001" customHeight="1" x14ac:dyDescent="0.25">
      <c r="A27" s="35">
        <v>26</v>
      </c>
      <c r="B27" s="21"/>
      <c r="C27" s="21"/>
      <c r="D27" s="46" t="s">
        <v>29</v>
      </c>
      <c r="E27" s="57" t="s">
        <v>325</v>
      </c>
      <c r="F27" s="46" t="s">
        <v>205</v>
      </c>
      <c r="G27" s="21"/>
      <c r="H27" s="46" t="s">
        <v>29</v>
      </c>
      <c r="I27" s="57" t="s">
        <v>139</v>
      </c>
      <c r="J27" s="21" t="s">
        <v>153</v>
      </c>
      <c r="K27" s="21" t="s">
        <v>143</v>
      </c>
      <c r="L27" s="21">
        <v>100</v>
      </c>
      <c r="M27" s="76" t="s">
        <v>155</v>
      </c>
      <c r="N27" s="21"/>
      <c r="O27" s="21" t="s">
        <v>47</v>
      </c>
      <c r="P27" s="46">
        <v>9208</v>
      </c>
      <c r="Q27" s="23">
        <v>5781.75</v>
      </c>
      <c r="R27" s="61">
        <v>45536</v>
      </c>
      <c r="S27" s="61">
        <v>45554</v>
      </c>
      <c r="T27" s="61">
        <v>45556</v>
      </c>
      <c r="U27" s="21" t="s">
        <v>184</v>
      </c>
      <c r="V27" s="46" t="s">
        <v>183</v>
      </c>
      <c r="W27" s="23">
        <f>sales[[#This Row],[ميعاد التسليم]]-sales[[#This Row],[ميعاد الطلب]]</f>
        <v>18</v>
      </c>
      <c r="X27" s="32">
        <f>sales[[#This Row],[تاريخ التسليم]]-sales[[#This Row],[ميعاد التسليم]]</f>
        <v>2</v>
      </c>
      <c r="Y27" s="32" t="str">
        <f>IF(sales[[#This Row],[فرق البضاغه المتسلمه]]&lt;=2,"تم تسليم فى الموعد","تسليم متاخر")</f>
        <v>تم تسليم فى الموعد</v>
      </c>
    </row>
    <row r="28" spans="1:25" ht="20.100000000000001" customHeight="1" x14ac:dyDescent="0.25">
      <c r="A28" s="35">
        <v>27</v>
      </c>
      <c r="B28" s="21"/>
      <c r="C28" s="21"/>
      <c r="D28" s="46" t="s">
        <v>29</v>
      </c>
      <c r="E28" s="57" t="s">
        <v>325</v>
      </c>
      <c r="F28" s="46" t="s">
        <v>205</v>
      </c>
      <c r="G28" s="21"/>
      <c r="H28" s="46" t="s">
        <v>29</v>
      </c>
      <c r="I28" s="57" t="s">
        <v>139</v>
      </c>
      <c r="J28" s="21" t="s">
        <v>153</v>
      </c>
      <c r="K28" s="21" t="s">
        <v>143</v>
      </c>
      <c r="L28" s="21">
        <v>100</v>
      </c>
      <c r="M28" s="76" t="s">
        <v>156</v>
      </c>
      <c r="N28" s="21"/>
      <c r="O28" s="21" t="s">
        <v>49</v>
      </c>
      <c r="P28" s="46">
        <v>9208</v>
      </c>
      <c r="Q28" s="23">
        <v>1278.53</v>
      </c>
      <c r="R28" s="61">
        <v>45536</v>
      </c>
      <c r="S28" s="61">
        <v>45554</v>
      </c>
      <c r="T28" s="61">
        <v>45556</v>
      </c>
      <c r="U28" s="21" t="s">
        <v>184</v>
      </c>
      <c r="V28" s="46" t="s">
        <v>183</v>
      </c>
      <c r="W28" s="23">
        <f>sales[[#This Row],[ميعاد التسليم]]-sales[[#This Row],[ميعاد الطلب]]</f>
        <v>18</v>
      </c>
      <c r="X28" s="32">
        <f>sales[[#This Row],[تاريخ التسليم]]-sales[[#This Row],[ميعاد التسليم]]</f>
        <v>2</v>
      </c>
      <c r="Y28" s="32" t="str">
        <f>IF(sales[[#This Row],[فرق البضاغه المتسلمه]]&lt;=2,"تم تسليم فى الموعد","تسليم متاخر")</f>
        <v>تم تسليم فى الموعد</v>
      </c>
    </row>
    <row r="29" spans="1:25" ht="20.100000000000001" customHeight="1" x14ac:dyDescent="0.25">
      <c r="A29" s="35">
        <v>28</v>
      </c>
      <c r="B29" s="21"/>
      <c r="C29" s="21"/>
      <c r="D29" s="46" t="s">
        <v>76</v>
      </c>
      <c r="E29" s="57" t="s">
        <v>325</v>
      </c>
      <c r="F29" s="46" t="s">
        <v>77</v>
      </c>
      <c r="G29" s="21"/>
      <c r="H29" s="46" t="s">
        <v>51</v>
      </c>
      <c r="I29" s="57" t="s">
        <v>139</v>
      </c>
      <c r="J29" s="21" t="s">
        <v>142</v>
      </c>
      <c r="K29" s="21" t="s">
        <v>165</v>
      </c>
      <c r="L29" s="21">
        <v>120</v>
      </c>
      <c r="M29" s="76" t="s">
        <v>155</v>
      </c>
      <c r="N29" s="21"/>
      <c r="O29" s="21" t="s">
        <v>80</v>
      </c>
      <c r="P29" s="46">
        <v>4020</v>
      </c>
      <c r="Q29" s="23" t="s">
        <v>78</v>
      </c>
      <c r="R29" s="61">
        <v>45547</v>
      </c>
      <c r="S29" s="61">
        <v>45556</v>
      </c>
      <c r="T29" s="61">
        <v>45557</v>
      </c>
      <c r="U29" s="21" t="s">
        <v>184</v>
      </c>
      <c r="V29" s="46" t="s">
        <v>183</v>
      </c>
      <c r="W29" s="23">
        <f>sales[[#This Row],[ميعاد التسليم]]-sales[[#This Row],[ميعاد الطلب]]</f>
        <v>9</v>
      </c>
      <c r="X29" s="32">
        <f>sales[[#This Row],[تاريخ التسليم]]-sales[[#This Row],[ميعاد التسليم]]</f>
        <v>1</v>
      </c>
      <c r="Y29" s="32" t="str">
        <f>IF(sales[[#This Row],[فرق البضاغه المتسلمه]]&lt;=2,"تم تسليم فى الموعد","تسليم متاخر")</f>
        <v>تم تسليم فى الموعد</v>
      </c>
    </row>
    <row r="30" spans="1:25" ht="20.100000000000001" customHeight="1" x14ac:dyDescent="0.25">
      <c r="A30" s="35">
        <v>29</v>
      </c>
      <c r="B30" s="21"/>
      <c r="C30" s="21"/>
      <c r="D30" s="46" t="s">
        <v>76</v>
      </c>
      <c r="E30" s="57" t="s">
        <v>325</v>
      </c>
      <c r="F30" s="46" t="s">
        <v>77</v>
      </c>
      <c r="G30" s="21"/>
      <c r="H30" s="46" t="s">
        <v>51</v>
      </c>
      <c r="I30" s="57" t="s">
        <v>139</v>
      </c>
      <c r="J30" s="21" t="s">
        <v>142</v>
      </c>
      <c r="K30" s="21" t="s">
        <v>165</v>
      </c>
      <c r="L30" s="21">
        <v>120</v>
      </c>
      <c r="M30" s="76" t="s">
        <v>155</v>
      </c>
      <c r="N30" s="21"/>
      <c r="O30" s="21" t="s">
        <v>80</v>
      </c>
      <c r="P30" s="46">
        <v>4020</v>
      </c>
      <c r="Q30" s="23" t="s">
        <v>78</v>
      </c>
      <c r="R30" s="61">
        <v>45547</v>
      </c>
      <c r="S30" s="61">
        <v>45556</v>
      </c>
      <c r="T30" s="61">
        <v>45557</v>
      </c>
      <c r="U30" s="21" t="s">
        <v>184</v>
      </c>
      <c r="V30" s="46" t="s">
        <v>183</v>
      </c>
      <c r="W30" s="23">
        <f>sales[[#This Row],[ميعاد التسليم]]-sales[[#This Row],[ميعاد الطلب]]</f>
        <v>9</v>
      </c>
      <c r="X30" s="32">
        <f>sales[[#This Row],[تاريخ التسليم]]-sales[[#This Row],[ميعاد التسليم]]</f>
        <v>1</v>
      </c>
      <c r="Y30" s="32" t="str">
        <f>IF(sales[[#This Row],[فرق البضاغه المتسلمه]]&lt;=2,"تم تسليم فى الموعد","تسليم متاخر")</f>
        <v>تم تسليم فى الموعد</v>
      </c>
    </row>
    <row r="31" spans="1:25" ht="20.100000000000001" customHeight="1" x14ac:dyDescent="0.25">
      <c r="A31" s="35">
        <v>30</v>
      </c>
      <c r="B31" s="21"/>
      <c r="C31" s="21"/>
      <c r="D31" s="46" t="s">
        <v>76</v>
      </c>
      <c r="E31" s="57" t="s">
        <v>325</v>
      </c>
      <c r="F31" s="46" t="s">
        <v>77</v>
      </c>
      <c r="G31" s="21"/>
      <c r="H31" s="46" t="s">
        <v>51</v>
      </c>
      <c r="I31" s="57" t="s">
        <v>139</v>
      </c>
      <c r="J31" s="21" t="s">
        <v>142</v>
      </c>
      <c r="K31" s="21" t="s">
        <v>157</v>
      </c>
      <c r="L31" s="21">
        <v>120</v>
      </c>
      <c r="M31" s="76" t="s">
        <v>156</v>
      </c>
      <c r="N31" s="21"/>
      <c r="O31" s="21" t="s">
        <v>79</v>
      </c>
      <c r="P31" s="46">
        <v>4020</v>
      </c>
      <c r="Q31" s="23" t="s">
        <v>107</v>
      </c>
      <c r="R31" s="61">
        <v>45547</v>
      </c>
      <c r="S31" s="61">
        <v>45556</v>
      </c>
      <c r="T31" s="61">
        <v>45557</v>
      </c>
      <c r="U31" s="21" t="s">
        <v>184</v>
      </c>
      <c r="V31" s="46" t="s">
        <v>183</v>
      </c>
      <c r="W31" s="23">
        <f>sales[[#This Row],[ميعاد التسليم]]-sales[[#This Row],[ميعاد الطلب]]</f>
        <v>9</v>
      </c>
      <c r="X31" s="32">
        <f>sales[[#This Row],[تاريخ التسليم]]-sales[[#This Row],[ميعاد التسليم]]</f>
        <v>1</v>
      </c>
      <c r="Y31" s="32" t="str">
        <f>IF(sales[[#This Row],[فرق البضاغه المتسلمه]]&lt;=2,"تم تسليم فى الموعد","تسليم متاخر")</f>
        <v>تم تسليم فى الموعد</v>
      </c>
    </row>
    <row r="32" spans="1:25" ht="20.100000000000001" customHeight="1" x14ac:dyDescent="0.25">
      <c r="A32" s="35">
        <v>31</v>
      </c>
      <c r="B32" s="21"/>
      <c r="C32" s="21"/>
      <c r="D32" s="46" t="s">
        <v>76</v>
      </c>
      <c r="E32" s="57" t="s">
        <v>325</v>
      </c>
      <c r="F32" s="46" t="s">
        <v>77</v>
      </c>
      <c r="G32" s="21"/>
      <c r="H32" s="46" t="s">
        <v>51</v>
      </c>
      <c r="I32" s="57" t="s">
        <v>139</v>
      </c>
      <c r="J32" s="21" t="s">
        <v>142</v>
      </c>
      <c r="K32" s="21" t="s">
        <v>157</v>
      </c>
      <c r="L32" s="21">
        <v>120</v>
      </c>
      <c r="M32" s="76" t="s">
        <v>156</v>
      </c>
      <c r="N32" s="21"/>
      <c r="O32" s="21" t="s">
        <v>79</v>
      </c>
      <c r="P32" s="46">
        <v>4020</v>
      </c>
      <c r="Q32" s="23" t="s">
        <v>107</v>
      </c>
      <c r="R32" s="61">
        <v>45547</v>
      </c>
      <c r="S32" s="61">
        <v>45556</v>
      </c>
      <c r="T32" s="61">
        <v>45557</v>
      </c>
      <c r="U32" s="21" t="s">
        <v>184</v>
      </c>
      <c r="V32" s="46" t="s">
        <v>183</v>
      </c>
      <c r="W32" s="23">
        <f>sales[[#This Row],[ميعاد التسليم]]-sales[[#This Row],[ميعاد الطلب]]</f>
        <v>9</v>
      </c>
      <c r="X32" s="32">
        <f>sales[[#This Row],[تاريخ التسليم]]-sales[[#This Row],[ميعاد التسليم]]</f>
        <v>1</v>
      </c>
      <c r="Y32" s="32" t="str">
        <f>IF(sales[[#This Row],[فرق البضاغه المتسلمه]]&lt;=2,"تم تسليم فى الموعد","تسليم متاخر")</f>
        <v>تم تسليم فى الموعد</v>
      </c>
    </row>
    <row r="33" spans="1:25" ht="20.100000000000001" customHeight="1" x14ac:dyDescent="0.25">
      <c r="A33" s="31">
        <v>32</v>
      </c>
      <c r="B33" s="30">
        <v>1509211</v>
      </c>
      <c r="C33" s="30">
        <v>1230837</v>
      </c>
      <c r="D33" s="46" t="s">
        <v>133</v>
      </c>
      <c r="E33" s="57" t="s">
        <v>324</v>
      </c>
      <c r="F33" s="46" t="s">
        <v>134</v>
      </c>
      <c r="G33" s="24"/>
      <c r="H33" s="57" t="s">
        <v>8</v>
      </c>
      <c r="I33" s="57" t="s">
        <v>139</v>
      </c>
      <c r="J33" s="24" t="s">
        <v>140</v>
      </c>
      <c r="K33" s="24"/>
      <c r="L33" s="24"/>
      <c r="M33" s="76" t="s">
        <v>156</v>
      </c>
      <c r="N33" s="24" t="s">
        <v>156</v>
      </c>
      <c r="O33" s="24" t="s">
        <v>135</v>
      </c>
      <c r="P33" s="46">
        <v>9399</v>
      </c>
      <c r="Q33" s="23" t="s">
        <v>107</v>
      </c>
      <c r="R33" s="61">
        <v>45549</v>
      </c>
      <c r="S33" s="61">
        <v>45557</v>
      </c>
      <c r="T33" s="61" t="s">
        <v>179</v>
      </c>
      <c r="U33" s="24" t="s">
        <v>34</v>
      </c>
      <c r="V33" s="46" t="s">
        <v>213</v>
      </c>
      <c r="W33" s="23">
        <f>sales[[#This Row],[ميعاد التسليم]]-sales[[#This Row],[ميعاد الطلب]]</f>
        <v>8</v>
      </c>
      <c r="X33" s="32" t="e">
        <f>sales[[#This Row],[تاريخ التسليم]]-sales[[#This Row],[ميعاد التسليم]]</f>
        <v>#VALUE!</v>
      </c>
      <c r="Y33" s="32" t="e">
        <f>IF(sales[[#This Row],[فرق البضاغه المتسلمه]]&lt;=2,"تم تسليم فى الموعد","تسليم متاخر")</f>
        <v>#VALUE!</v>
      </c>
    </row>
    <row r="34" spans="1:25" ht="20.100000000000001" customHeight="1" x14ac:dyDescent="0.25">
      <c r="A34" s="35">
        <v>33</v>
      </c>
      <c r="B34" s="34">
        <v>1536687</v>
      </c>
      <c r="C34" s="34">
        <v>1237682</v>
      </c>
      <c r="D34" s="46" t="s">
        <v>136</v>
      </c>
      <c r="E34" s="57" t="s">
        <v>324</v>
      </c>
      <c r="F34" s="46" t="s">
        <v>137</v>
      </c>
      <c r="G34" s="21"/>
      <c r="H34" s="57" t="s">
        <v>8</v>
      </c>
      <c r="I34" s="46" t="s">
        <v>146</v>
      </c>
      <c r="J34" s="21" t="s">
        <v>177</v>
      </c>
      <c r="K34" s="21"/>
      <c r="L34" s="21"/>
      <c r="M34" s="76" t="s">
        <v>191</v>
      </c>
      <c r="N34" s="21"/>
      <c r="O34" s="21" t="s">
        <v>138</v>
      </c>
      <c r="P34" s="46">
        <v>8349</v>
      </c>
      <c r="Q34" s="23" t="s">
        <v>107</v>
      </c>
      <c r="R34" s="61">
        <v>45549</v>
      </c>
      <c r="S34" s="61">
        <v>45557</v>
      </c>
      <c r="T34" s="61">
        <v>45559</v>
      </c>
      <c r="U34" s="21" t="s">
        <v>26</v>
      </c>
      <c r="V34" s="46" t="s">
        <v>183</v>
      </c>
      <c r="W34" s="23">
        <f>sales[[#This Row],[ميعاد التسليم]]-sales[[#This Row],[ميعاد الطلب]]</f>
        <v>8</v>
      </c>
      <c r="X34" s="32">
        <f>sales[[#This Row],[تاريخ التسليم]]-sales[[#This Row],[ميعاد التسليم]]</f>
        <v>2</v>
      </c>
      <c r="Y34" s="32" t="str">
        <f>IF(sales[[#This Row],[فرق البضاغه المتسلمه]]&lt;=2,"تم تسليم فى الموعد","تسليم متاخر")</f>
        <v>تم تسليم فى الموعد</v>
      </c>
    </row>
    <row r="35" spans="1:25" ht="20.100000000000001" customHeight="1" x14ac:dyDescent="0.25">
      <c r="A35" s="35">
        <v>34</v>
      </c>
      <c r="B35" s="34">
        <v>1520537</v>
      </c>
      <c r="C35" s="34">
        <v>1233624</v>
      </c>
      <c r="D35" s="58" t="s">
        <v>96</v>
      </c>
      <c r="E35" s="57" t="s">
        <v>324</v>
      </c>
      <c r="F35" s="46" t="s">
        <v>36</v>
      </c>
      <c r="G35" s="38"/>
      <c r="H35" s="57" t="s">
        <v>8</v>
      </c>
      <c r="I35" s="57" t="s">
        <v>139</v>
      </c>
      <c r="J35" s="38" t="s">
        <v>140</v>
      </c>
      <c r="K35" s="38"/>
      <c r="L35" s="38"/>
      <c r="M35" s="76" t="s">
        <v>156</v>
      </c>
      <c r="N35" s="21" t="s">
        <v>156</v>
      </c>
      <c r="O35" s="21" t="s">
        <v>97</v>
      </c>
      <c r="P35" s="58">
        <v>9399</v>
      </c>
      <c r="Q35" s="40" t="s">
        <v>16</v>
      </c>
      <c r="R35" s="63">
        <v>45548</v>
      </c>
      <c r="S35" s="63">
        <v>45559</v>
      </c>
      <c r="T35" s="63" t="s">
        <v>192</v>
      </c>
      <c r="U35" s="38" t="s">
        <v>26</v>
      </c>
      <c r="V35" s="46" t="s">
        <v>183</v>
      </c>
      <c r="W35" s="23">
        <f>sales[[#This Row],[ميعاد التسليم]]-sales[[#This Row],[ميعاد الطلب]]</f>
        <v>11</v>
      </c>
      <c r="X35" s="32" t="e">
        <f>sales[[#This Row],[تاريخ التسليم]]-sales[[#This Row],[ميعاد التسليم]]</f>
        <v>#VALUE!</v>
      </c>
      <c r="Y35" s="32" t="e">
        <f>IF(sales[[#This Row],[فرق البضاغه المتسلمه]]&lt;=2,"تم تسليم فى الموعد","تسليم متاخر")</f>
        <v>#VALUE!</v>
      </c>
    </row>
    <row r="36" spans="1:25" ht="20.100000000000001" customHeight="1" x14ac:dyDescent="0.25">
      <c r="A36" s="35">
        <v>35</v>
      </c>
      <c r="B36" s="34">
        <v>1422998</v>
      </c>
      <c r="C36" s="34">
        <v>1207350</v>
      </c>
      <c r="D36" s="46" t="s">
        <v>66</v>
      </c>
      <c r="E36" s="57" t="s">
        <v>324</v>
      </c>
      <c r="F36" s="46" t="s">
        <v>274</v>
      </c>
      <c r="G36" s="21"/>
      <c r="H36" s="57" t="s">
        <v>8</v>
      </c>
      <c r="I36" s="46" t="s">
        <v>146</v>
      </c>
      <c r="J36" s="21" t="s">
        <v>175</v>
      </c>
      <c r="K36" s="21"/>
      <c r="L36" s="21"/>
      <c r="M36" s="76" t="s">
        <v>191</v>
      </c>
      <c r="N36" s="21"/>
      <c r="O36" s="21" t="s">
        <v>58</v>
      </c>
      <c r="P36" s="46">
        <v>7849</v>
      </c>
      <c r="Q36" s="23">
        <v>7928</v>
      </c>
      <c r="R36" s="61">
        <v>45547</v>
      </c>
      <c r="S36" s="61">
        <v>45561</v>
      </c>
      <c r="T36" s="61" t="s">
        <v>26</v>
      </c>
      <c r="U36" s="21" t="s">
        <v>26</v>
      </c>
      <c r="V36" s="46" t="s">
        <v>183</v>
      </c>
      <c r="W36" s="23">
        <f>sales[[#This Row],[ميعاد التسليم]]-sales[[#This Row],[ميعاد الطلب]]</f>
        <v>14</v>
      </c>
      <c r="X36" s="32" t="e">
        <f>sales[[#This Row],[تاريخ التسليم]]-sales[[#This Row],[ميعاد التسليم]]</f>
        <v>#VALUE!</v>
      </c>
      <c r="Y36" s="32" t="e">
        <f>IF(sales[[#This Row],[فرق البضاغه المتسلمه]]&lt;=2,"تم تسليم فى الموعد","تسليم متاخر")</f>
        <v>#VALUE!</v>
      </c>
    </row>
    <row r="37" spans="1:25" ht="20.100000000000001" customHeight="1" x14ac:dyDescent="0.25">
      <c r="A37" s="42">
        <v>36</v>
      </c>
      <c r="B37" s="41"/>
      <c r="C37" s="41"/>
      <c r="D37" s="58" t="s">
        <v>72</v>
      </c>
      <c r="E37" s="57" t="s">
        <v>324</v>
      </c>
      <c r="F37" s="58" t="s">
        <v>73</v>
      </c>
      <c r="G37" s="41" t="s">
        <v>74</v>
      </c>
      <c r="H37" s="46" t="s">
        <v>250</v>
      </c>
      <c r="I37" s="57" t="s">
        <v>139</v>
      </c>
      <c r="J37" s="41" t="s">
        <v>159</v>
      </c>
      <c r="K37" s="41" t="s">
        <v>144</v>
      </c>
      <c r="L37" s="41">
        <v>100</v>
      </c>
      <c r="M37" s="77" t="s">
        <v>156</v>
      </c>
      <c r="N37" s="41"/>
      <c r="O37" s="41" t="s">
        <v>75</v>
      </c>
      <c r="P37" s="58">
        <v>9450</v>
      </c>
      <c r="Q37" s="43">
        <v>9450</v>
      </c>
      <c r="R37" s="63">
        <v>45547</v>
      </c>
      <c r="S37" s="63">
        <v>45561</v>
      </c>
      <c r="T37" s="63"/>
      <c r="U37" s="41"/>
      <c r="V37" s="46" t="s">
        <v>213</v>
      </c>
      <c r="W37" s="23">
        <f>sales[[#This Row],[ميعاد التسليم]]-sales[[#This Row],[ميعاد الطلب]]</f>
        <v>14</v>
      </c>
      <c r="X37" s="32">
        <f>sales[[#This Row],[تاريخ التسليم]]-sales[[#This Row],[ميعاد التسليم]]</f>
        <v>-45561</v>
      </c>
      <c r="Y37" s="32" t="str">
        <f>IF(sales[[#This Row],[فرق البضاغه المتسلمه]]&lt;=2,"تم تسليم فى الموعد","تسليم متاخر")</f>
        <v>تم تسليم فى الموعد</v>
      </c>
    </row>
    <row r="38" spans="1:25" ht="20.100000000000001" customHeight="1" x14ac:dyDescent="0.25">
      <c r="A38" s="35">
        <v>37</v>
      </c>
      <c r="B38" s="34">
        <v>1459790</v>
      </c>
      <c r="C38" s="34">
        <v>1218257</v>
      </c>
      <c r="D38" s="58" t="s">
        <v>88</v>
      </c>
      <c r="E38" s="57" t="s">
        <v>324</v>
      </c>
      <c r="F38" s="46" t="s">
        <v>62</v>
      </c>
      <c r="G38" s="38"/>
      <c r="H38" s="57" t="s">
        <v>8</v>
      </c>
      <c r="I38" s="57" t="s">
        <v>139</v>
      </c>
      <c r="J38" s="21" t="s">
        <v>142</v>
      </c>
      <c r="K38" s="21" t="s">
        <v>145</v>
      </c>
      <c r="L38" s="38">
        <v>120</v>
      </c>
      <c r="M38" s="77" t="s">
        <v>156</v>
      </c>
      <c r="N38" s="38"/>
      <c r="O38" s="38" t="s">
        <v>89</v>
      </c>
      <c r="P38" s="58">
        <v>7460</v>
      </c>
      <c r="Q38" s="40" t="s">
        <v>16</v>
      </c>
      <c r="R38" s="63">
        <v>45548</v>
      </c>
      <c r="S38" s="63">
        <v>45561</v>
      </c>
      <c r="T38" s="63">
        <v>45568</v>
      </c>
      <c r="U38" s="21" t="s">
        <v>184</v>
      </c>
      <c r="V38" s="46" t="s">
        <v>183</v>
      </c>
      <c r="W38" s="23">
        <f>sales[[#This Row],[ميعاد التسليم]]-sales[[#This Row],[ميعاد الطلب]]</f>
        <v>13</v>
      </c>
      <c r="X38" s="32">
        <f>sales[[#This Row],[تاريخ التسليم]]-sales[[#This Row],[ميعاد التسليم]]</f>
        <v>7</v>
      </c>
      <c r="Y38" s="32" t="str">
        <f>IF(sales[[#This Row],[فرق البضاغه المتسلمه]]&lt;=2,"تم تسليم فى الموعد","تسليم متاخر")</f>
        <v>تسليم متاخر</v>
      </c>
    </row>
    <row r="39" spans="1:25" ht="20.100000000000001" customHeight="1" x14ac:dyDescent="0.25">
      <c r="A39" s="35">
        <v>38</v>
      </c>
      <c r="B39" s="34">
        <v>1455486</v>
      </c>
      <c r="C39" s="34">
        <v>1217163</v>
      </c>
      <c r="D39" s="58" t="s">
        <v>92</v>
      </c>
      <c r="E39" s="57" t="s">
        <v>324</v>
      </c>
      <c r="F39" s="46" t="s">
        <v>62</v>
      </c>
      <c r="G39" s="38"/>
      <c r="H39" s="57" t="s">
        <v>8</v>
      </c>
      <c r="I39" s="57" t="s">
        <v>139</v>
      </c>
      <c r="J39" s="21" t="s">
        <v>142</v>
      </c>
      <c r="K39" s="38" t="s">
        <v>166</v>
      </c>
      <c r="L39" s="38">
        <v>140</v>
      </c>
      <c r="M39" s="77" t="s">
        <v>164</v>
      </c>
      <c r="N39" s="38" t="s">
        <v>160</v>
      </c>
      <c r="O39" s="38" t="s">
        <v>93</v>
      </c>
      <c r="P39" s="58">
        <v>9528</v>
      </c>
      <c r="Q39" s="40" t="s">
        <v>16</v>
      </c>
      <c r="R39" s="63">
        <v>45548</v>
      </c>
      <c r="S39" s="63">
        <v>45561</v>
      </c>
      <c r="T39" s="63">
        <v>45568</v>
      </c>
      <c r="U39" s="21" t="s">
        <v>184</v>
      </c>
      <c r="V39" s="46" t="s">
        <v>183</v>
      </c>
      <c r="W39" s="23">
        <f>sales[[#This Row],[ميعاد التسليم]]-sales[[#This Row],[ميعاد الطلب]]</f>
        <v>13</v>
      </c>
      <c r="X39" s="32">
        <f>sales[[#This Row],[تاريخ التسليم]]-sales[[#This Row],[ميعاد التسليم]]</f>
        <v>7</v>
      </c>
      <c r="Y39" s="32" t="str">
        <f>IF(sales[[#This Row],[فرق البضاغه المتسلمه]]&lt;=2,"تم تسليم فى الموعد","تسليم متاخر")</f>
        <v>تسليم متاخر</v>
      </c>
    </row>
    <row r="40" spans="1:25" ht="20.100000000000001" customHeight="1" x14ac:dyDescent="0.25">
      <c r="A40" s="35">
        <v>39</v>
      </c>
      <c r="B40" s="34">
        <v>1504407</v>
      </c>
      <c r="C40" s="34">
        <v>1229760</v>
      </c>
      <c r="D40" s="46" t="s">
        <v>131</v>
      </c>
      <c r="E40" s="57" t="s">
        <v>324</v>
      </c>
      <c r="F40" s="46" t="s">
        <v>36</v>
      </c>
      <c r="G40" s="21"/>
      <c r="H40" s="57" t="s">
        <v>8</v>
      </c>
      <c r="I40" s="57" t="s">
        <v>139</v>
      </c>
      <c r="J40" s="21" t="s">
        <v>153</v>
      </c>
      <c r="K40" s="21" t="s">
        <v>144</v>
      </c>
      <c r="L40" s="21">
        <v>120</v>
      </c>
      <c r="M40" s="76" t="s">
        <v>160</v>
      </c>
      <c r="N40" s="21"/>
      <c r="O40" s="21" t="s">
        <v>132</v>
      </c>
      <c r="P40" s="46">
        <v>12999</v>
      </c>
      <c r="Q40" s="23" t="s">
        <v>16</v>
      </c>
      <c r="R40" s="61">
        <v>45549</v>
      </c>
      <c r="S40" s="61">
        <v>45562</v>
      </c>
      <c r="T40" s="61">
        <v>45567</v>
      </c>
      <c r="U40" s="21" t="s">
        <v>184</v>
      </c>
      <c r="V40" s="46" t="s">
        <v>183</v>
      </c>
      <c r="W40" s="23">
        <f>sales[[#This Row],[ميعاد التسليم]]-sales[[#This Row],[ميعاد الطلب]]</f>
        <v>13</v>
      </c>
      <c r="X40" s="32">
        <f>sales[[#This Row],[تاريخ التسليم]]-sales[[#This Row],[ميعاد التسليم]]</f>
        <v>5</v>
      </c>
      <c r="Y40" s="32" t="str">
        <f>IF(sales[[#This Row],[فرق البضاغه المتسلمه]]&lt;=2,"تم تسليم فى الموعد","تسليم متاخر")</f>
        <v>تسليم متاخر</v>
      </c>
    </row>
    <row r="41" spans="1:25" ht="20.100000000000001" customHeight="1" x14ac:dyDescent="0.25">
      <c r="A41" s="29">
        <v>40</v>
      </c>
      <c r="B41" s="28">
        <v>1423361</v>
      </c>
      <c r="C41" s="28">
        <v>1207484</v>
      </c>
      <c r="D41" s="46" t="s">
        <v>67</v>
      </c>
      <c r="E41" s="57" t="s">
        <v>324</v>
      </c>
      <c r="F41" s="46" t="s">
        <v>81</v>
      </c>
      <c r="G41" s="26"/>
      <c r="H41" s="57" t="s">
        <v>8</v>
      </c>
      <c r="I41" s="57" t="s">
        <v>139</v>
      </c>
      <c r="J41" s="26" t="s">
        <v>153</v>
      </c>
      <c r="K41" s="26" t="s">
        <v>141</v>
      </c>
      <c r="L41" s="26">
        <v>90</v>
      </c>
      <c r="M41" s="76" t="s">
        <v>156</v>
      </c>
      <c r="N41" s="26"/>
      <c r="O41" s="26" t="s">
        <v>70</v>
      </c>
      <c r="P41" s="46">
        <v>5999</v>
      </c>
      <c r="Q41" s="27" t="s">
        <v>16</v>
      </c>
      <c r="R41" s="61">
        <v>45547</v>
      </c>
      <c r="S41" s="61">
        <v>45564</v>
      </c>
      <c r="T41" s="61"/>
      <c r="U41" s="26"/>
      <c r="V41" s="46" t="s">
        <v>183</v>
      </c>
      <c r="W41" s="23">
        <f>sales[[#This Row],[ميعاد التسليم]]-sales[[#This Row],[ميعاد الطلب]]</f>
        <v>17</v>
      </c>
      <c r="X41" s="32">
        <f>sales[[#This Row],[تاريخ التسليم]]-sales[[#This Row],[ميعاد التسليم]]</f>
        <v>-45564</v>
      </c>
      <c r="Y41" s="32" t="str">
        <f>IF(sales[[#This Row],[فرق البضاغه المتسلمه]]&lt;=2,"تم تسليم فى الموعد","تسليم متاخر")</f>
        <v>تم تسليم فى الموعد</v>
      </c>
    </row>
    <row r="42" spans="1:25" ht="20.100000000000001" customHeight="1" x14ac:dyDescent="0.25">
      <c r="A42" s="35">
        <v>41</v>
      </c>
      <c r="B42" s="34">
        <v>1415725</v>
      </c>
      <c r="C42" s="34">
        <v>1204732</v>
      </c>
      <c r="D42" s="46" t="s">
        <v>68</v>
      </c>
      <c r="E42" s="57" t="s">
        <v>324</v>
      </c>
      <c r="F42" s="46" t="s">
        <v>69</v>
      </c>
      <c r="G42" s="21"/>
      <c r="H42" s="57" t="s">
        <v>8</v>
      </c>
      <c r="I42" s="57" t="s">
        <v>139</v>
      </c>
      <c r="J42" s="21" t="s">
        <v>153</v>
      </c>
      <c r="K42" s="21" t="s">
        <v>144</v>
      </c>
      <c r="L42" s="21">
        <v>100</v>
      </c>
      <c r="M42" s="76" t="s">
        <v>156</v>
      </c>
      <c r="N42" s="21"/>
      <c r="O42" s="21" t="s">
        <v>71</v>
      </c>
      <c r="P42" s="46">
        <v>11949</v>
      </c>
      <c r="Q42" s="23">
        <v>10749</v>
      </c>
      <c r="R42" s="61">
        <v>45547</v>
      </c>
      <c r="S42" s="61">
        <v>45564</v>
      </c>
      <c r="T42" s="61">
        <v>45567</v>
      </c>
      <c r="U42" s="21" t="s">
        <v>184</v>
      </c>
      <c r="V42" s="46" t="s">
        <v>183</v>
      </c>
      <c r="W42" s="23">
        <f>sales[[#This Row],[ميعاد التسليم]]-sales[[#This Row],[ميعاد الطلب]]</f>
        <v>17</v>
      </c>
      <c r="X42" s="32">
        <f>sales[[#This Row],[تاريخ التسليم]]-sales[[#This Row],[ميعاد التسليم]]</f>
        <v>3</v>
      </c>
      <c r="Y42" s="32" t="str">
        <f>IF(sales[[#This Row],[فرق البضاغه المتسلمه]]&lt;=2,"تم تسليم فى الموعد","تسليم متاخر")</f>
        <v>تسليم متاخر</v>
      </c>
    </row>
    <row r="43" spans="1:25" ht="20.100000000000001" customHeight="1" x14ac:dyDescent="0.25">
      <c r="A43" s="35">
        <v>42</v>
      </c>
      <c r="B43" s="34">
        <v>1415726</v>
      </c>
      <c r="C43" s="34">
        <v>1204732</v>
      </c>
      <c r="D43" s="46" t="s">
        <v>68</v>
      </c>
      <c r="E43" s="57" t="s">
        <v>324</v>
      </c>
      <c r="F43" s="46" t="s">
        <v>69</v>
      </c>
      <c r="G43" s="21"/>
      <c r="H43" s="57" t="s">
        <v>8</v>
      </c>
      <c r="I43" s="57" t="s">
        <v>139</v>
      </c>
      <c r="J43" s="21" t="s">
        <v>153</v>
      </c>
      <c r="K43" s="21" t="s">
        <v>144</v>
      </c>
      <c r="L43" s="21">
        <v>100</v>
      </c>
      <c r="M43" s="76" t="s">
        <v>156</v>
      </c>
      <c r="N43" s="21"/>
      <c r="O43" s="21" t="s">
        <v>71</v>
      </c>
      <c r="P43" s="46">
        <v>11949</v>
      </c>
      <c r="Q43" s="23">
        <v>10749</v>
      </c>
      <c r="R43" s="61">
        <v>45547</v>
      </c>
      <c r="S43" s="61">
        <v>45564</v>
      </c>
      <c r="T43" s="61">
        <v>45567</v>
      </c>
      <c r="U43" s="21" t="s">
        <v>184</v>
      </c>
      <c r="V43" s="46" t="s">
        <v>183</v>
      </c>
      <c r="W43" s="23">
        <f>sales[[#This Row],[ميعاد التسليم]]-sales[[#This Row],[ميعاد الطلب]]</f>
        <v>17</v>
      </c>
      <c r="X43" s="32">
        <f>sales[[#This Row],[تاريخ التسليم]]-sales[[#This Row],[ميعاد التسليم]]</f>
        <v>3</v>
      </c>
      <c r="Y43" s="32" t="str">
        <f>IF(sales[[#This Row],[فرق البضاغه المتسلمه]]&lt;=2,"تم تسليم فى الموعد","تسليم متاخر")</f>
        <v>تسليم متاخر</v>
      </c>
    </row>
    <row r="44" spans="1:25" ht="20.100000000000001" customHeight="1" x14ac:dyDescent="0.25">
      <c r="A44" s="35">
        <v>43</v>
      </c>
      <c r="B44" s="34">
        <v>1499397</v>
      </c>
      <c r="C44" s="34">
        <v>1228586</v>
      </c>
      <c r="D44" s="58" t="s">
        <v>31</v>
      </c>
      <c r="E44" s="57" t="s">
        <v>324</v>
      </c>
      <c r="F44" s="46" t="s">
        <v>81</v>
      </c>
      <c r="G44" s="38"/>
      <c r="H44" s="57" t="s">
        <v>8</v>
      </c>
      <c r="I44" s="57" t="s">
        <v>139</v>
      </c>
      <c r="J44" s="21" t="s">
        <v>159</v>
      </c>
      <c r="K44" s="21" t="s">
        <v>144</v>
      </c>
      <c r="L44" s="38">
        <v>80</v>
      </c>
      <c r="M44" s="77" t="s">
        <v>155</v>
      </c>
      <c r="N44" s="38"/>
      <c r="O44" s="38" t="s">
        <v>84</v>
      </c>
      <c r="P44" s="58">
        <v>16599</v>
      </c>
      <c r="Q44" s="40" t="s">
        <v>16</v>
      </c>
      <c r="R44" s="63">
        <v>45548</v>
      </c>
      <c r="S44" s="63">
        <v>45565</v>
      </c>
      <c r="T44" s="63">
        <v>45568</v>
      </c>
      <c r="U44" s="21" t="s">
        <v>184</v>
      </c>
      <c r="V44" s="46" t="s">
        <v>183</v>
      </c>
      <c r="W44" s="23">
        <f>sales[[#This Row],[ميعاد التسليم]]-sales[[#This Row],[ميعاد الطلب]]</f>
        <v>17</v>
      </c>
      <c r="X44" s="32">
        <f>sales[[#This Row],[تاريخ التسليم]]-sales[[#This Row],[ميعاد التسليم]]</f>
        <v>3</v>
      </c>
      <c r="Y44" s="32" t="str">
        <f>IF(sales[[#This Row],[فرق البضاغه المتسلمه]]&lt;=2,"تم تسليم فى الموعد","تسليم متاخر")</f>
        <v>تسليم متاخر</v>
      </c>
    </row>
    <row r="45" spans="1:25" ht="20.100000000000001" customHeight="1" x14ac:dyDescent="0.25">
      <c r="A45" s="35">
        <v>44</v>
      </c>
      <c r="B45" s="34">
        <v>1458696</v>
      </c>
      <c r="C45" s="34">
        <v>1217982</v>
      </c>
      <c r="D45" s="58" t="s">
        <v>82</v>
      </c>
      <c r="E45" s="57" t="s">
        <v>324</v>
      </c>
      <c r="F45" s="46" t="s">
        <v>24</v>
      </c>
      <c r="G45" s="38"/>
      <c r="H45" s="57" t="s">
        <v>8</v>
      </c>
      <c r="I45" s="57" t="s">
        <v>139</v>
      </c>
      <c r="J45" s="21" t="s">
        <v>153</v>
      </c>
      <c r="K45" s="21" t="s">
        <v>144</v>
      </c>
      <c r="L45" s="21">
        <v>80</v>
      </c>
      <c r="M45" s="76" t="s">
        <v>155</v>
      </c>
      <c r="N45" s="21"/>
      <c r="O45" s="21" t="s">
        <v>83</v>
      </c>
      <c r="P45" s="58">
        <v>10999</v>
      </c>
      <c r="Q45" s="40" t="s">
        <v>16</v>
      </c>
      <c r="R45" s="63">
        <v>45548</v>
      </c>
      <c r="S45" s="63">
        <v>45565</v>
      </c>
      <c r="T45" s="63">
        <v>45581</v>
      </c>
      <c r="U45" s="38" t="s">
        <v>26</v>
      </c>
      <c r="V45" s="46" t="s">
        <v>183</v>
      </c>
      <c r="W45" s="23">
        <f>sales[[#This Row],[ميعاد التسليم]]-sales[[#This Row],[ميعاد الطلب]]</f>
        <v>17</v>
      </c>
      <c r="X45" s="32">
        <f>sales[[#This Row],[تاريخ التسليم]]-sales[[#This Row],[ميعاد التسليم]]</f>
        <v>16</v>
      </c>
      <c r="Y45" s="32" t="str">
        <f>IF(sales[[#This Row],[فرق البضاغه المتسلمه]]&lt;=2,"تم تسليم فى الموعد","تسليم متاخر")</f>
        <v>تسليم متاخر</v>
      </c>
    </row>
    <row r="46" spans="1:25" ht="20.100000000000001" customHeight="1" x14ac:dyDescent="0.25">
      <c r="A46" s="35">
        <v>45</v>
      </c>
      <c r="B46" s="34">
        <v>1480814</v>
      </c>
      <c r="C46" s="34">
        <v>1223964</v>
      </c>
      <c r="D46" s="58" t="s">
        <v>85</v>
      </c>
      <c r="E46" s="57" t="s">
        <v>324</v>
      </c>
      <c r="F46" s="58" t="s">
        <v>86</v>
      </c>
      <c r="G46" s="38"/>
      <c r="H46" s="57" t="s">
        <v>8</v>
      </c>
      <c r="I46" s="57" t="s">
        <v>139</v>
      </c>
      <c r="J46" s="21" t="s">
        <v>153</v>
      </c>
      <c r="K46" s="21" t="s">
        <v>144</v>
      </c>
      <c r="L46" s="38">
        <v>140</v>
      </c>
      <c r="M46" s="77" t="s">
        <v>158</v>
      </c>
      <c r="N46" s="38"/>
      <c r="O46" s="38" t="s">
        <v>87</v>
      </c>
      <c r="P46" s="58">
        <v>13099</v>
      </c>
      <c r="Q46" s="40" t="s">
        <v>16</v>
      </c>
      <c r="R46" s="63">
        <v>45548</v>
      </c>
      <c r="S46" s="63">
        <v>45565</v>
      </c>
      <c r="T46" s="63">
        <v>45568</v>
      </c>
      <c r="U46" s="38" t="s">
        <v>26</v>
      </c>
      <c r="V46" s="46" t="s">
        <v>183</v>
      </c>
      <c r="W46" s="23">
        <f>sales[[#This Row],[ميعاد التسليم]]-sales[[#This Row],[ميعاد الطلب]]</f>
        <v>17</v>
      </c>
      <c r="X46" s="32">
        <f>sales[[#This Row],[تاريخ التسليم]]-sales[[#This Row],[ميعاد التسليم]]</f>
        <v>3</v>
      </c>
      <c r="Y46" s="32" t="str">
        <f>IF(sales[[#This Row],[فرق البضاغه المتسلمه]]&lt;=2,"تم تسليم فى الموعد","تسليم متاخر")</f>
        <v>تسليم متاخر</v>
      </c>
    </row>
    <row r="47" spans="1:25" ht="20.100000000000001" customHeight="1" x14ac:dyDescent="0.25">
      <c r="A47" s="35">
        <v>46</v>
      </c>
      <c r="B47" s="34">
        <v>1492471</v>
      </c>
      <c r="C47" s="34">
        <v>1227052</v>
      </c>
      <c r="D47" s="58" t="s">
        <v>90</v>
      </c>
      <c r="E47" s="57" t="s">
        <v>324</v>
      </c>
      <c r="F47" s="46" t="s">
        <v>36</v>
      </c>
      <c r="G47" s="38"/>
      <c r="H47" s="57" t="s">
        <v>8</v>
      </c>
      <c r="I47" s="57" t="s">
        <v>139</v>
      </c>
      <c r="J47" s="21" t="s">
        <v>153</v>
      </c>
      <c r="K47" s="21" t="s">
        <v>143</v>
      </c>
      <c r="L47" s="21">
        <v>120</v>
      </c>
      <c r="M47" s="76" t="s">
        <v>161</v>
      </c>
      <c r="N47" s="21"/>
      <c r="O47" s="21" t="s">
        <v>91</v>
      </c>
      <c r="P47" s="58">
        <v>13849</v>
      </c>
      <c r="Q47" s="40" t="s">
        <v>16</v>
      </c>
      <c r="R47" s="63">
        <v>45548</v>
      </c>
      <c r="S47" s="63">
        <v>45565</v>
      </c>
      <c r="T47" s="63">
        <v>45585</v>
      </c>
      <c r="U47" s="21" t="s">
        <v>184</v>
      </c>
      <c r="V47" s="46" t="s">
        <v>183</v>
      </c>
      <c r="W47" s="23">
        <f>sales[[#This Row],[ميعاد التسليم]]-sales[[#This Row],[ميعاد الطلب]]</f>
        <v>17</v>
      </c>
      <c r="X47" s="32">
        <f>sales[[#This Row],[تاريخ التسليم]]-sales[[#This Row],[ميعاد التسليم]]</f>
        <v>20</v>
      </c>
      <c r="Y47" s="32" t="str">
        <f>IF(sales[[#This Row],[فرق البضاغه المتسلمه]]&lt;=2,"تم تسليم فى الموعد","تسليم متاخر")</f>
        <v>تسليم متاخر</v>
      </c>
    </row>
    <row r="48" spans="1:25" ht="20.100000000000001" customHeight="1" x14ac:dyDescent="0.25">
      <c r="A48" s="39">
        <v>47</v>
      </c>
      <c r="B48" s="44">
        <v>1507912</v>
      </c>
      <c r="C48" s="44">
        <v>1230527</v>
      </c>
      <c r="D48" s="58" t="s">
        <v>94</v>
      </c>
      <c r="E48" s="57" t="s">
        <v>324</v>
      </c>
      <c r="F48" s="46" t="s">
        <v>62</v>
      </c>
      <c r="G48" s="38"/>
      <c r="H48" s="57" t="s">
        <v>8</v>
      </c>
      <c r="I48" s="46" t="s">
        <v>154</v>
      </c>
      <c r="J48" s="38" t="s">
        <v>152</v>
      </c>
      <c r="K48" s="38"/>
      <c r="L48" s="38"/>
      <c r="M48" s="77" t="s">
        <v>156</v>
      </c>
      <c r="N48" s="38" t="s">
        <v>160</v>
      </c>
      <c r="O48" s="38" t="s">
        <v>95</v>
      </c>
      <c r="P48" s="58">
        <v>21999</v>
      </c>
      <c r="Q48" s="40" t="s">
        <v>16</v>
      </c>
      <c r="R48" s="63">
        <v>45548</v>
      </c>
      <c r="S48" s="63">
        <v>45565</v>
      </c>
      <c r="T48" s="63" t="s">
        <v>26</v>
      </c>
      <c r="U48" s="21" t="s">
        <v>184</v>
      </c>
      <c r="V48" s="46" t="s">
        <v>183</v>
      </c>
      <c r="W48" s="23">
        <f>sales[[#This Row],[ميعاد التسليم]]-sales[[#This Row],[ميعاد الطلب]]</f>
        <v>17</v>
      </c>
      <c r="X48" s="32" t="e">
        <f>sales[[#This Row],[تاريخ التسليم]]-sales[[#This Row],[ميعاد التسليم]]</f>
        <v>#VALUE!</v>
      </c>
      <c r="Y48" s="32" t="e">
        <f>IF(sales[[#This Row],[فرق البضاغه المتسلمه]]&lt;=2,"تم تسليم فى الموعد","تسليم متاخر")</f>
        <v>#VALUE!</v>
      </c>
    </row>
    <row r="49" spans="1:25" ht="20.100000000000001" customHeight="1" x14ac:dyDescent="0.25">
      <c r="A49" s="35">
        <v>48</v>
      </c>
      <c r="B49" s="34">
        <v>1525747</v>
      </c>
      <c r="C49" s="34">
        <v>1234936</v>
      </c>
      <c r="D49" s="58" t="s">
        <v>100</v>
      </c>
      <c r="E49" s="57" t="s">
        <v>324</v>
      </c>
      <c r="F49" s="46" t="s">
        <v>36</v>
      </c>
      <c r="G49" s="38"/>
      <c r="H49" s="57" t="s">
        <v>8</v>
      </c>
      <c r="I49" s="57" t="s">
        <v>139</v>
      </c>
      <c r="J49" s="21" t="s">
        <v>153</v>
      </c>
      <c r="K49" s="21" t="s">
        <v>144</v>
      </c>
      <c r="L49" s="21">
        <v>80</v>
      </c>
      <c r="M49" s="76" t="s">
        <v>155</v>
      </c>
      <c r="N49" s="21"/>
      <c r="O49" s="21" t="s">
        <v>83</v>
      </c>
      <c r="P49" s="58">
        <v>10999</v>
      </c>
      <c r="Q49" s="40" t="s">
        <v>16</v>
      </c>
      <c r="R49" s="63">
        <v>45548</v>
      </c>
      <c r="S49" s="63">
        <v>45565</v>
      </c>
      <c r="T49" s="63">
        <v>45580</v>
      </c>
      <c r="U49" s="21" t="s">
        <v>184</v>
      </c>
      <c r="V49" s="46" t="s">
        <v>183</v>
      </c>
      <c r="W49" s="23">
        <f>sales[[#This Row],[ميعاد التسليم]]-sales[[#This Row],[ميعاد الطلب]]</f>
        <v>17</v>
      </c>
      <c r="X49" s="32">
        <f>sales[[#This Row],[تاريخ التسليم]]-sales[[#This Row],[ميعاد التسليم]]</f>
        <v>15</v>
      </c>
      <c r="Y49" s="32" t="str">
        <f>IF(sales[[#This Row],[فرق البضاغه المتسلمه]]&lt;=2,"تم تسليم فى الموعد","تسليم متاخر")</f>
        <v>تسليم متاخر</v>
      </c>
    </row>
    <row r="50" spans="1:25" ht="20.100000000000001" customHeight="1" x14ac:dyDescent="0.25">
      <c r="A50" s="35">
        <v>49</v>
      </c>
      <c r="B50" s="34">
        <v>1536313</v>
      </c>
      <c r="C50" s="34">
        <v>1237601</v>
      </c>
      <c r="D50" s="58" t="s">
        <v>102</v>
      </c>
      <c r="E50" s="57" t="s">
        <v>324</v>
      </c>
      <c r="F50" s="58" t="s">
        <v>99</v>
      </c>
      <c r="G50" s="38"/>
      <c r="H50" s="57" t="s">
        <v>8</v>
      </c>
      <c r="I50" s="57" t="s">
        <v>139</v>
      </c>
      <c r="J50" s="21" t="s">
        <v>159</v>
      </c>
      <c r="K50" s="21" t="s">
        <v>144</v>
      </c>
      <c r="L50" s="38">
        <v>90</v>
      </c>
      <c r="M50" s="77" t="s">
        <v>156</v>
      </c>
      <c r="N50" s="38"/>
      <c r="O50" s="38" t="s">
        <v>103</v>
      </c>
      <c r="P50" s="58">
        <v>17249</v>
      </c>
      <c r="Q50" s="40" t="s">
        <v>16</v>
      </c>
      <c r="R50" s="63">
        <v>45548</v>
      </c>
      <c r="S50" s="63">
        <v>45565</v>
      </c>
      <c r="T50" s="63">
        <v>45569</v>
      </c>
      <c r="U50" s="21" t="s">
        <v>184</v>
      </c>
      <c r="V50" s="46" t="s">
        <v>183</v>
      </c>
      <c r="W50" s="23">
        <f>sales[[#This Row],[ميعاد التسليم]]-sales[[#This Row],[ميعاد الطلب]]</f>
        <v>17</v>
      </c>
      <c r="X50" s="32">
        <f>sales[[#This Row],[تاريخ التسليم]]-sales[[#This Row],[ميعاد التسليم]]</f>
        <v>4</v>
      </c>
      <c r="Y50" s="32" t="str">
        <f>IF(sales[[#This Row],[فرق البضاغه المتسلمه]]&lt;=2,"تم تسليم فى الموعد","تسليم متاخر")</f>
        <v>تسليم متاخر</v>
      </c>
    </row>
    <row r="51" spans="1:25" ht="20.100000000000001" customHeight="1" x14ac:dyDescent="0.25">
      <c r="A51" s="35">
        <v>50</v>
      </c>
      <c r="B51" s="34">
        <v>1505609</v>
      </c>
      <c r="C51" s="34">
        <v>1230031</v>
      </c>
      <c r="D51" s="46" t="s">
        <v>128</v>
      </c>
      <c r="E51" s="57" t="s">
        <v>324</v>
      </c>
      <c r="F51" s="46" t="s">
        <v>129</v>
      </c>
      <c r="G51" s="21"/>
      <c r="H51" s="57" t="s">
        <v>8</v>
      </c>
      <c r="I51" s="46" t="s">
        <v>146</v>
      </c>
      <c r="J51" s="21" t="s">
        <v>175</v>
      </c>
      <c r="K51" s="21"/>
      <c r="L51" s="21"/>
      <c r="M51" s="76" t="s">
        <v>191</v>
      </c>
      <c r="N51" s="21"/>
      <c r="O51" s="21" t="s">
        <v>130</v>
      </c>
      <c r="P51" s="46">
        <v>8349</v>
      </c>
      <c r="Q51" s="23" t="s">
        <v>16</v>
      </c>
      <c r="R51" s="61">
        <v>45549</v>
      </c>
      <c r="S51" s="61">
        <v>45581</v>
      </c>
      <c r="T51" s="61">
        <v>45586</v>
      </c>
      <c r="U51" s="21" t="s">
        <v>184</v>
      </c>
      <c r="V51" s="46" t="s">
        <v>183</v>
      </c>
      <c r="W51" s="23">
        <f>sales[[#This Row],[ميعاد التسليم]]-sales[[#This Row],[ميعاد الطلب]]</f>
        <v>32</v>
      </c>
      <c r="X51" s="32">
        <f>sales[[#This Row],[تاريخ التسليم]]-sales[[#This Row],[ميعاد التسليم]]</f>
        <v>5</v>
      </c>
      <c r="Y51" s="32" t="str">
        <f>IF(sales[[#This Row],[فرق البضاغه المتسلمه]]&lt;=2,"تم تسليم فى الموعد","تسليم متاخر")</f>
        <v>تسليم متاخر</v>
      </c>
    </row>
    <row r="52" spans="1:25" ht="20.100000000000001" customHeight="1" x14ac:dyDescent="0.25">
      <c r="A52" s="35">
        <v>51</v>
      </c>
      <c r="B52" s="34">
        <v>1612229</v>
      </c>
      <c r="C52" s="34">
        <v>1254076</v>
      </c>
      <c r="D52" s="46" t="s">
        <v>109</v>
      </c>
      <c r="E52" s="57" t="s">
        <v>324</v>
      </c>
      <c r="F52" s="46" t="s">
        <v>57</v>
      </c>
      <c r="G52" s="21"/>
      <c r="H52" s="57" t="s">
        <v>8</v>
      </c>
      <c r="I52" s="46" t="s">
        <v>146</v>
      </c>
      <c r="J52" s="38" t="s">
        <v>176</v>
      </c>
      <c r="K52" s="38"/>
      <c r="L52" s="38"/>
      <c r="M52" s="76" t="s">
        <v>191</v>
      </c>
      <c r="N52" s="38"/>
      <c r="O52" s="38" t="s">
        <v>25</v>
      </c>
      <c r="P52" s="58">
        <v>7849</v>
      </c>
      <c r="Q52" s="40" t="s">
        <v>16</v>
      </c>
      <c r="R52" s="63">
        <v>45549</v>
      </c>
      <c r="S52" s="63">
        <v>45594</v>
      </c>
      <c r="T52" s="63">
        <v>45595</v>
      </c>
      <c r="U52" s="21" t="s">
        <v>184</v>
      </c>
      <c r="V52" s="46" t="s">
        <v>183</v>
      </c>
      <c r="W52" s="23">
        <f>sales[[#This Row],[ميعاد التسليم]]-sales[[#This Row],[ميعاد الطلب]]</f>
        <v>45</v>
      </c>
      <c r="X52" s="32">
        <f>sales[[#This Row],[تاريخ التسليم]]-sales[[#This Row],[ميعاد التسليم]]</f>
        <v>1</v>
      </c>
      <c r="Y52" s="32" t="str">
        <f>IF(sales[[#This Row],[فرق البضاغه المتسلمه]]&lt;=2,"تم تسليم فى الموعد","تسليم متاخر")</f>
        <v>تم تسليم فى الموعد</v>
      </c>
    </row>
    <row r="53" spans="1:25" ht="20.100000000000001" customHeight="1" x14ac:dyDescent="0.25">
      <c r="A53" s="35">
        <v>52</v>
      </c>
      <c r="B53" s="34">
        <v>1673771</v>
      </c>
      <c r="C53" s="34">
        <v>1269559</v>
      </c>
      <c r="D53" s="46" t="s">
        <v>110</v>
      </c>
      <c r="E53" s="57" t="s">
        <v>324</v>
      </c>
      <c r="F53" s="46" t="s">
        <v>36</v>
      </c>
      <c r="G53" s="21"/>
      <c r="H53" s="57" t="s">
        <v>8</v>
      </c>
      <c r="I53" s="57" t="s">
        <v>139</v>
      </c>
      <c r="J53" s="38" t="s">
        <v>140</v>
      </c>
      <c r="K53" s="38"/>
      <c r="L53" s="38"/>
      <c r="M53" s="76" t="s">
        <v>156</v>
      </c>
      <c r="N53" s="21" t="s">
        <v>156</v>
      </c>
      <c r="O53" s="21" t="s">
        <v>111</v>
      </c>
      <c r="P53" s="58">
        <v>9399</v>
      </c>
      <c r="Q53" s="40" t="s">
        <v>107</v>
      </c>
      <c r="R53" s="63">
        <v>45549</v>
      </c>
      <c r="S53" s="63">
        <v>45594</v>
      </c>
      <c r="T53" s="63">
        <v>45580</v>
      </c>
      <c r="U53" s="21" t="s">
        <v>184</v>
      </c>
      <c r="V53" s="46" t="s">
        <v>183</v>
      </c>
      <c r="W53" s="23">
        <f>sales[[#This Row],[ميعاد التسليم]]-sales[[#This Row],[ميعاد الطلب]]</f>
        <v>45</v>
      </c>
      <c r="X53" s="32">
        <f>sales[[#This Row],[تاريخ التسليم]]-sales[[#This Row],[ميعاد التسليم]]</f>
        <v>-14</v>
      </c>
      <c r="Y53" s="32" t="str">
        <f>IF(sales[[#This Row],[فرق البضاغه المتسلمه]]&lt;=2,"تم تسليم فى الموعد","تسليم متاخر")</f>
        <v>تم تسليم فى الموعد</v>
      </c>
    </row>
    <row r="54" spans="1:25" ht="20.100000000000001" customHeight="1" x14ac:dyDescent="0.25">
      <c r="A54" s="35">
        <v>53</v>
      </c>
      <c r="B54" s="34">
        <v>1667352</v>
      </c>
      <c r="C54" s="34">
        <v>1267819</v>
      </c>
      <c r="D54" s="46" t="s">
        <v>112</v>
      </c>
      <c r="E54" s="57" t="s">
        <v>324</v>
      </c>
      <c r="F54" s="46" t="s">
        <v>226</v>
      </c>
      <c r="G54" s="21"/>
      <c r="H54" s="57" t="s">
        <v>8</v>
      </c>
      <c r="I54" s="57" t="s">
        <v>139</v>
      </c>
      <c r="J54" s="21" t="s">
        <v>142</v>
      </c>
      <c r="K54" s="21" t="s">
        <v>145</v>
      </c>
      <c r="L54" s="38">
        <v>140</v>
      </c>
      <c r="M54" s="77" t="s">
        <v>156</v>
      </c>
      <c r="N54" s="38"/>
      <c r="O54" s="38" t="s">
        <v>113</v>
      </c>
      <c r="P54" s="58">
        <v>11817</v>
      </c>
      <c r="Q54" s="40" t="s">
        <v>107</v>
      </c>
      <c r="R54" s="63">
        <v>45549</v>
      </c>
      <c r="S54" s="63">
        <v>45594</v>
      </c>
      <c r="T54" s="63">
        <v>45580</v>
      </c>
      <c r="U54" s="21" t="s">
        <v>184</v>
      </c>
      <c r="V54" s="46" t="s">
        <v>183</v>
      </c>
      <c r="W54" s="23">
        <f>sales[[#This Row],[ميعاد التسليم]]-sales[[#This Row],[ميعاد الطلب]]</f>
        <v>45</v>
      </c>
      <c r="X54" s="32">
        <f>sales[[#This Row],[تاريخ التسليم]]-sales[[#This Row],[ميعاد التسليم]]</f>
        <v>-14</v>
      </c>
      <c r="Y54" s="32" t="str">
        <f>IF(sales[[#This Row],[فرق البضاغه المتسلمه]]&lt;=2,"تم تسليم فى الموعد","تسليم متاخر")</f>
        <v>تم تسليم فى الموعد</v>
      </c>
    </row>
    <row r="55" spans="1:25" ht="20.100000000000001" customHeight="1" x14ac:dyDescent="0.25">
      <c r="A55" s="35">
        <v>54</v>
      </c>
      <c r="B55" s="34">
        <v>1649781</v>
      </c>
      <c r="C55" s="34">
        <v>1263160</v>
      </c>
      <c r="D55" s="46" t="s">
        <v>114</v>
      </c>
      <c r="E55" s="57" t="s">
        <v>324</v>
      </c>
      <c r="F55" s="46" t="s">
        <v>81</v>
      </c>
      <c r="G55" s="21"/>
      <c r="H55" s="57" t="s">
        <v>8</v>
      </c>
      <c r="I55" s="46" t="s">
        <v>146</v>
      </c>
      <c r="J55" s="21" t="s">
        <v>177</v>
      </c>
      <c r="K55" s="38"/>
      <c r="L55" s="38"/>
      <c r="M55" s="76" t="s">
        <v>191</v>
      </c>
      <c r="N55" s="38"/>
      <c r="O55" s="38" t="s">
        <v>115</v>
      </c>
      <c r="P55" s="58">
        <v>8349</v>
      </c>
      <c r="Q55" s="40" t="s">
        <v>107</v>
      </c>
      <c r="R55" s="63">
        <v>45549</v>
      </c>
      <c r="S55" s="63">
        <v>45594</v>
      </c>
      <c r="T55" s="63">
        <v>45584</v>
      </c>
      <c r="U55" s="21" t="s">
        <v>184</v>
      </c>
      <c r="V55" s="46" t="s">
        <v>183</v>
      </c>
      <c r="W55" s="23">
        <f>sales[[#This Row],[ميعاد التسليم]]-sales[[#This Row],[ميعاد الطلب]]</f>
        <v>45</v>
      </c>
      <c r="X55" s="32">
        <f>sales[[#This Row],[تاريخ التسليم]]-sales[[#This Row],[ميعاد التسليم]]</f>
        <v>-10</v>
      </c>
      <c r="Y55" s="32" t="str">
        <f>IF(sales[[#This Row],[فرق البضاغه المتسلمه]]&lt;=2,"تم تسليم فى الموعد","تسليم متاخر")</f>
        <v>تم تسليم فى الموعد</v>
      </c>
    </row>
    <row r="56" spans="1:25" ht="20.100000000000001" customHeight="1" x14ac:dyDescent="0.25">
      <c r="A56" s="29">
        <v>55</v>
      </c>
      <c r="B56" s="28">
        <v>1681476</v>
      </c>
      <c r="C56" s="28">
        <v>1271813</v>
      </c>
      <c r="D56" s="46" t="s">
        <v>118</v>
      </c>
      <c r="E56" s="57" t="s">
        <v>324</v>
      </c>
      <c r="F56" s="46" t="s">
        <v>119</v>
      </c>
      <c r="G56" s="26"/>
      <c r="H56" s="57" t="s">
        <v>8</v>
      </c>
      <c r="I56" s="57" t="s">
        <v>139</v>
      </c>
      <c r="J56" s="26" t="s">
        <v>142</v>
      </c>
      <c r="K56" s="26" t="s">
        <v>165</v>
      </c>
      <c r="L56" s="36">
        <v>120</v>
      </c>
      <c r="M56" s="77" t="s">
        <v>155</v>
      </c>
      <c r="N56" s="36"/>
      <c r="O56" s="36" t="s">
        <v>120</v>
      </c>
      <c r="P56" s="46">
        <v>17886</v>
      </c>
      <c r="Q56" s="27" t="s">
        <v>107</v>
      </c>
      <c r="R56" s="61">
        <v>45549</v>
      </c>
      <c r="S56" s="61">
        <v>45594</v>
      </c>
      <c r="T56" s="61"/>
      <c r="U56" s="26"/>
      <c r="V56" s="46" t="s">
        <v>213</v>
      </c>
      <c r="W56" s="23">
        <f>sales[[#This Row],[ميعاد التسليم]]-sales[[#This Row],[ميعاد الطلب]]</f>
        <v>45</v>
      </c>
      <c r="X56" s="32">
        <f>sales[[#This Row],[تاريخ التسليم]]-sales[[#This Row],[ميعاد التسليم]]</f>
        <v>-45594</v>
      </c>
      <c r="Y56" s="32" t="str">
        <f>IF(sales[[#This Row],[فرق البضاغه المتسلمه]]&lt;=2,"تم تسليم فى الموعد","تسليم متاخر")</f>
        <v>تم تسليم فى الموعد</v>
      </c>
    </row>
    <row r="57" spans="1:25" ht="20.100000000000001" customHeight="1" x14ac:dyDescent="0.25">
      <c r="A57" s="29">
        <v>56</v>
      </c>
      <c r="B57" s="28">
        <v>1681477</v>
      </c>
      <c r="C57" s="28">
        <v>1271813</v>
      </c>
      <c r="D57" s="46" t="s">
        <v>118</v>
      </c>
      <c r="E57" s="57" t="s">
        <v>324</v>
      </c>
      <c r="F57" s="46" t="s">
        <v>119</v>
      </c>
      <c r="G57" s="26"/>
      <c r="H57" s="57" t="s">
        <v>8</v>
      </c>
      <c r="I57" s="57" t="s">
        <v>139</v>
      </c>
      <c r="J57" s="26" t="s">
        <v>142</v>
      </c>
      <c r="K57" s="26" t="s">
        <v>165</v>
      </c>
      <c r="L57" s="36">
        <v>120</v>
      </c>
      <c r="M57" s="77" t="s">
        <v>155</v>
      </c>
      <c r="N57" s="36"/>
      <c r="O57" s="36" t="s">
        <v>120</v>
      </c>
      <c r="P57" s="46">
        <v>17886</v>
      </c>
      <c r="Q57" s="27" t="s">
        <v>107</v>
      </c>
      <c r="R57" s="61">
        <v>45549</v>
      </c>
      <c r="S57" s="61">
        <v>45594</v>
      </c>
      <c r="T57" s="61"/>
      <c r="U57" s="26"/>
      <c r="V57" s="46" t="s">
        <v>213</v>
      </c>
      <c r="W57" s="23">
        <f>sales[[#This Row],[ميعاد التسليم]]-sales[[#This Row],[ميعاد الطلب]]</f>
        <v>45</v>
      </c>
      <c r="X57" s="32">
        <f>sales[[#This Row],[تاريخ التسليم]]-sales[[#This Row],[ميعاد التسليم]]</f>
        <v>-45594</v>
      </c>
      <c r="Y57" s="32" t="str">
        <f>IF(sales[[#This Row],[فرق البضاغه المتسلمه]]&lt;=2,"تم تسليم فى الموعد","تسليم متاخر")</f>
        <v>تم تسليم فى الموعد</v>
      </c>
    </row>
    <row r="58" spans="1:25" ht="20.100000000000001" customHeight="1" x14ac:dyDescent="0.25">
      <c r="A58" s="35">
        <v>57</v>
      </c>
      <c r="B58" s="34">
        <v>1677530</v>
      </c>
      <c r="C58" s="34">
        <v>1270704</v>
      </c>
      <c r="D58" s="46" t="s">
        <v>121</v>
      </c>
      <c r="E58" s="57" t="s">
        <v>324</v>
      </c>
      <c r="F58" s="46" t="s">
        <v>62</v>
      </c>
      <c r="G58" s="21"/>
      <c r="H58" s="57" t="s">
        <v>8</v>
      </c>
      <c r="I58" s="57" t="s">
        <v>139</v>
      </c>
      <c r="J58" s="21" t="s">
        <v>142</v>
      </c>
      <c r="K58" s="21" t="s">
        <v>145</v>
      </c>
      <c r="L58" s="38">
        <v>120</v>
      </c>
      <c r="M58" s="77" t="s">
        <v>155</v>
      </c>
      <c r="N58" s="38"/>
      <c r="O58" s="38" t="s">
        <v>122</v>
      </c>
      <c r="P58" s="58">
        <v>10987</v>
      </c>
      <c r="Q58" s="23" t="s">
        <v>16</v>
      </c>
      <c r="R58" s="61">
        <v>45549</v>
      </c>
      <c r="S58" s="61">
        <v>45594</v>
      </c>
      <c r="T58" s="61">
        <v>45578</v>
      </c>
      <c r="U58" s="21" t="s">
        <v>184</v>
      </c>
      <c r="V58" s="46" t="s">
        <v>183</v>
      </c>
      <c r="W58" s="23">
        <f>sales[[#This Row],[ميعاد التسليم]]-sales[[#This Row],[ميعاد الطلب]]</f>
        <v>45</v>
      </c>
      <c r="X58" s="32">
        <f>sales[[#This Row],[تاريخ التسليم]]-sales[[#This Row],[ميعاد التسليم]]</f>
        <v>-16</v>
      </c>
      <c r="Y58" s="32" t="str">
        <f>IF(sales[[#This Row],[فرق البضاغه المتسلمه]]&lt;=2,"تم تسليم فى الموعد","تسليم متاخر")</f>
        <v>تم تسليم فى الموعد</v>
      </c>
    </row>
    <row r="59" spans="1:25" ht="20.100000000000001" customHeight="1" x14ac:dyDescent="0.25">
      <c r="A59" s="35">
        <v>58</v>
      </c>
      <c r="B59" s="34">
        <v>1677528</v>
      </c>
      <c r="C59" s="34">
        <v>1270704</v>
      </c>
      <c r="D59" s="46" t="s">
        <v>121</v>
      </c>
      <c r="E59" s="57" t="s">
        <v>324</v>
      </c>
      <c r="F59" s="46" t="s">
        <v>62</v>
      </c>
      <c r="G59" s="21"/>
      <c r="H59" s="57" t="s">
        <v>8</v>
      </c>
      <c r="I59" s="57" t="s">
        <v>139</v>
      </c>
      <c r="J59" s="21" t="s">
        <v>142</v>
      </c>
      <c r="K59" s="21" t="s">
        <v>145</v>
      </c>
      <c r="L59" s="38">
        <v>120</v>
      </c>
      <c r="M59" s="77" t="s">
        <v>155</v>
      </c>
      <c r="N59" s="38"/>
      <c r="O59" s="38" t="s">
        <v>122</v>
      </c>
      <c r="P59" s="58">
        <v>10987</v>
      </c>
      <c r="Q59" s="23" t="s">
        <v>16</v>
      </c>
      <c r="R59" s="61">
        <v>45549</v>
      </c>
      <c r="S59" s="61">
        <v>45594</v>
      </c>
      <c r="T59" s="61">
        <v>45578</v>
      </c>
      <c r="U59" s="21" t="s">
        <v>184</v>
      </c>
      <c r="V59" s="46" t="s">
        <v>183</v>
      </c>
      <c r="W59" s="23">
        <f>sales[[#This Row],[ميعاد التسليم]]-sales[[#This Row],[ميعاد الطلب]]</f>
        <v>45</v>
      </c>
      <c r="X59" s="32">
        <f>sales[[#This Row],[تاريخ التسليم]]-sales[[#This Row],[ميعاد التسليم]]</f>
        <v>-16</v>
      </c>
      <c r="Y59" s="32" t="str">
        <f>IF(sales[[#This Row],[فرق البضاغه المتسلمه]]&lt;=2,"تم تسليم فى الموعد","تسليم متاخر")</f>
        <v>تم تسليم فى الموعد</v>
      </c>
    </row>
    <row r="60" spans="1:25" ht="20.100000000000001" customHeight="1" x14ac:dyDescent="0.25">
      <c r="A60" s="35">
        <v>59</v>
      </c>
      <c r="B60" s="34">
        <v>1657744</v>
      </c>
      <c r="C60" s="34">
        <v>1265268</v>
      </c>
      <c r="D60" s="46" t="s">
        <v>124</v>
      </c>
      <c r="E60" s="57" t="s">
        <v>324</v>
      </c>
      <c r="F60" s="46" t="s">
        <v>125</v>
      </c>
      <c r="G60" s="21"/>
      <c r="H60" s="57" t="s">
        <v>8</v>
      </c>
      <c r="I60" s="46" t="s">
        <v>146</v>
      </c>
      <c r="J60" s="21" t="s">
        <v>175</v>
      </c>
      <c r="K60" s="21"/>
      <c r="L60" s="21"/>
      <c r="M60" s="76" t="s">
        <v>191</v>
      </c>
      <c r="N60" s="21"/>
      <c r="O60" s="21" t="s">
        <v>58</v>
      </c>
      <c r="P60" s="46">
        <v>10319</v>
      </c>
      <c r="Q60" s="23" t="s">
        <v>16</v>
      </c>
      <c r="R60" s="61">
        <v>45549</v>
      </c>
      <c r="S60" s="61">
        <v>45594</v>
      </c>
      <c r="T60" s="61">
        <v>45584</v>
      </c>
      <c r="U60" s="21" t="s">
        <v>184</v>
      </c>
      <c r="V60" s="46" t="s">
        <v>183</v>
      </c>
      <c r="W60" s="23">
        <f>sales[[#This Row],[ميعاد التسليم]]-sales[[#This Row],[ميعاد الطلب]]</f>
        <v>45</v>
      </c>
      <c r="X60" s="32">
        <f>sales[[#This Row],[تاريخ التسليم]]-sales[[#This Row],[ميعاد التسليم]]</f>
        <v>-10</v>
      </c>
      <c r="Y60" s="32" t="str">
        <f>IF(sales[[#This Row],[فرق البضاغه المتسلمه]]&lt;=2,"تم تسليم فى الموعد","تسليم متاخر")</f>
        <v>تم تسليم فى الموعد</v>
      </c>
    </row>
    <row r="61" spans="1:25" ht="20.100000000000001" customHeight="1" x14ac:dyDescent="0.25">
      <c r="A61" s="35">
        <v>60</v>
      </c>
      <c r="B61" s="34">
        <v>1610613</v>
      </c>
      <c r="C61" s="34">
        <v>1253646</v>
      </c>
      <c r="D61" s="46" t="s">
        <v>104</v>
      </c>
      <c r="E61" s="57" t="s">
        <v>324</v>
      </c>
      <c r="F61" s="46" t="s">
        <v>105</v>
      </c>
      <c r="G61" s="21"/>
      <c r="H61" s="57" t="s">
        <v>8</v>
      </c>
      <c r="I61" s="57" t="s">
        <v>139</v>
      </c>
      <c r="J61" s="21" t="s">
        <v>153</v>
      </c>
      <c r="K61" s="21" t="s">
        <v>144</v>
      </c>
      <c r="L61" s="21">
        <v>120</v>
      </c>
      <c r="M61" s="76" t="s">
        <v>160</v>
      </c>
      <c r="N61" s="21"/>
      <c r="O61" s="21" t="s">
        <v>106</v>
      </c>
      <c r="P61" s="58">
        <v>12999</v>
      </c>
      <c r="Q61" s="40" t="s">
        <v>107</v>
      </c>
      <c r="R61" s="63">
        <v>45549</v>
      </c>
      <c r="S61" s="63">
        <v>45616</v>
      </c>
      <c r="T61" s="63">
        <v>45582</v>
      </c>
      <c r="U61" s="21" t="s">
        <v>26</v>
      </c>
      <c r="V61" s="46" t="s">
        <v>183</v>
      </c>
      <c r="W61" s="23">
        <f>sales[[#This Row],[ميعاد التسليم]]-sales[[#This Row],[ميعاد الطلب]]</f>
        <v>67</v>
      </c>
      <c r="X61" s="32">
        <f>sales[[#This Row],[تاريخ التسليم]]-sales[[#This Row],[ميعاد التسليم]]</f>
        <v>-34</v>
      </c>
      <c r="Y61" s="32" t="str">
        <f>IF(sales[[#This Row],[فرق البضاغه المتسلمه]]&lt;=2,"تم تسليم فى الموعد","تسليم متاخر")</f>
        <v>تم تسليم فى الموعد</v>
      </c>
    </row>
    <row r="62" spans="1:25" ht="20.100000000000001" customHeight="1" x14ac:dyDescent="0.25">
      <c r="A62" s="31">
        <v>61</v>
      </c>
      <c r="B62" s="30">
        <v>1608468</v>
      </c>
      <c r="C62" s="30">
        <v>1253172</v>
      </c>
      <c r="D62" s="46" t="s">
        <v>108</v>
      </c>
      <c r="E62" s="57" t="s">
        <v>324</v>
      </c>
      <c r="F62" s="46" t="s">
        <v>24</v>
      </c>
      <c r="G62" s="24"/>
      <c r="H62" s="57" t="s">
        <v>8</v>
      </c>
      <c r="I62" s="46" t="s">
        <v>154</v>
      </c>
      <c r="J62" s="24" t="s">
        <v>152</v>
      </c>
      <c r="K62" s="24"/>
      <c r="L62" s="24"/>
      <c r="M62" s="76" t="s">
        <v>156</v>
      </c>
      <c r="N62" s="24" t="s">
        <v>160</v>
      </c>
      <c r="O62" s="24" t="s">
        <v>95</v>
      </c>
      <c r="P62" s="46">
        <v>21999</v>
      </c>
      <c r="Q62" s="43" t="s">
        <v>16</v>
      </c>
      <c r="R62" s="63">
        <v>45549</v>
      </c>
      <c r="S62" s="63">
        <v>45616</v>
      </c>
      <c r="T62" s="63"/>
      <c r="U62" s="24"/>
      <c r="V62" s="46" t="s">
        <v>213</v>
      </c>
      <c r="W62" s="23">
        <f>sales[[#This Row],[ميعاد التسليم]]-sales[[#This Row],[ميعاد الطلب]]</f>
        <v>67</v>
      </c>
      <c r="X62" s="32">
        <f>sales[[#This Row],[تاريخ التسليم]]-sales[[#This Row],[ميعاد التسليم]]</f>
        <v>-45616</v>
      </c>
      <c r="Y62" s="32" t="str">
        <f>IF(sales[[#This Row],[فرق البضاغه المتسلمه]]&lt;=2,"تم تسليم فى الموعد","تسليم متاخر")</f>
        <v>تم تسليم فى الموعد</v>
      </c>
    </row>
    <row r="63" spans="1:25" ht="20.100000000000001" customHeight="1" x14ac:dyDescent="0.25">
      <c r="A63" s="35">
        <v>62</v>
      </c>
      <c r="B63" s="34">
        <v>1654554</v>
      </c>
      <c r="C63" s="34">
        <v>1264469</v>
      </c>
      <c r="D63" s="46" t="s">
        <v>116</v>
      </c>
      <c r="E63" s="57" t="s">
        <v>324</v>
      </c>
      <c r="F63" s="46" t="s">
        <v>81</v>
      </c>
      <c r="G63" s="21"/>
      <c r="H63" s="57" t="s">
        <v>8</v>
      </c>
      <c r="I63" s="57" t="s">
        <v>139</v>
      </c>
      <c r="J63" s="21" t="s">
        <v>153</v>
      </c>
      <c r="K63" s="38" t="s">
        <v>141</v>
      </c>
      <c r="L63" s="38">
        <v>100</v>
      </c>
      <c r="M63" s="77" t="s">
        <v>160</v>
      </c>
      <c r="N63" s="38"/>
      <c r="O63" s="38" t="s">
        <v>117</v>
      </c>
      <c r="P63" s="58">
        <v>12399</v>
      </c>
      <c r="Q63" s="23" t="s">
        <v>16</v>
      </c>
      <c r="R63" s="63">
        <v>45549</v>
      </c>
      <c r="S63" s="63">
        <v>45616</v>
      </c>
      <c r="T63" s="63">
        <v>45566</v>
      </c>
      <c r="U63" s="38" t="s">
        <v>26</v>
      </c>
      <c r="V63" s="46" t="s">
        <v>183</v>
      </c>
      <c r="W63" s="23">
        <f>sales[[#This Row],[ميعاد التسليم]]-sales[[#This Row],[ميعاد الطلب]]</f>
        <v>67</v>
      </c>
      <c r="X63" s="32">
        <f>sales[[#This Row],[تاريخ التسليم]]-sales[[#This Row],[ميعاد التسليم]]</f>
        <v>-50</v>
      </c>
      <c r="Y63" s="32" t="str">
        <f>IF(sales[[#This Row],[فرق البضاغه المتسلمه]]&lt;=2,"تم تسليم فى الموعد","تسليم متاخر")</f>
        <v>تم تسليم فى الموعد</v>
      </c>
    </row>
    <row r="64" spans="1:25" ht="20.100000000000001" customHeight="1" x14ac:dyDescent="0.25">
      <c r="A64" s="35">
        <v>63</v>
      </c>
      <c r="B64" s="34">
        <v>1644504</v>
      </c>
      <c r="C64" s="34">
        <v>1261644</v>
      </c>
      <c r="D64" s="46" t="s">
        <v>123</v>
      </c>
      <c r="E64" s="57" t="s">
        <v>324</v>
      </c>
      <c r="F64" s="46" t="s">
        <v>62</v>
      </c>
      <c r="G64" s="21"/>
      <c r="H64" s="57" t="s">
        <v>8</v>
      </c>
      <c r="I64" s="46" t="s">
        <v>154</v>
      </c>
      <c r="J64" s="38" t="s">
        <v>152</v>
      </c>
      <c r="K64" s="38"/>
      <c r="L64" s="38"/>
      <c r="M64" s="76" t="s">
        <v>156</v>
      </c>
      <c r="N64" s="21" t="s">
        <v>160</v>
      </c>
      <c r="O64" s="21" t="s">
        <v>95</v>
      </c>
      <c r="P64" s="58">
        <v>21999</v>
      </c>
      <c r="Q64" s="23" t="s">
        <v>16</v>
      </c>
      <c r="R64" s="61">
        <v>45549</v>
      </c>
      <c r="S64" s="61">
        <v>45616</v>
      </c>
      <c r="T64" s="61">
        <v>45574</v>
      </c>
      <c r="U64" s="21" t="s">
        <v>184</v>
      </c>
      <c r="V64" s="46" t="s">
        <v>183</v>
      </c>
      <c r="W64" s="23">
        <f>sales[[#This Row],[ميعاد التسليم]]-sales[[#This Row],[ميعاد الطلب]]</f>
        <v>67</v>
      </c>
      <c r="X64" s="32">
        <f>sales[[#This Row],[تاريخ التسليم]]-sales[[#This Row],[ميعاد التسليم]]</f>
        <v>-42</v>
      </c>
      <c r="Y64" s="32" t="str">
        <f>IF(sales[[#This Row],[فرق البضاغه المتسلمه]]&lt;=2,"تم تسليم فى الموعد","تسليم متاخر")</f>
        <v>تم تسليم فى الموعد</v>
      </c>
    </row>
    <row r="65" spans="1:25" ht="20.100000000000001" customHeight="1" x14ac:dyDescent="0.25">
      <c r="A65" s="35">
        <v>64</v>
      </c>
      <c r="B65" s="34">
        <v>1655447</v>
      </c>
      <c r="C65" s="34">
        <v>1264684</v>
      </c>
      <c r="D65" s="46" t="s">
        <v>126</v>
      </c>
      <c r="E65" s="57" t="s">
        <v>324</v>
      </c>
      <c r="F65" s="46" t="s">
        <v>57</v>
      </c>
      <c r="G65" s="21"/>
      <c r="H65" s="57" t="s">
        <v>8</v>
      </c>
      <c r="I65" s="57" t="s">
        <v>139</v>
      </c>
      <c r="J65" s="21" t="s">
        <v>153</v>
      </c>
      <c r="K65" s="21" t="s">
        <v>141</v>
      </c>
      <c r="L65" s="21">
        <v>80</v>
      </c>
      <c r="M65" s="76" t="s">
        <v>155</v>
      </c>
      <c r="N65" s="21"/>
      <c r="O65" s="21" t="s">
        <v>127</v>
      </c>
      <c r="P65" s="46">
        <v>10999</v>
      </c>
      <c r="Q65" s="23" t="s">
        <v>107</v>
      </c>
      <c r="R65" s="61">
        <v>45549</v>
      </c>
      <c r="S65" s="61">
        <v>45616</v>
      </c>
      <c r="T65" s="61">
        <v>45581</v>
      </c>
      <c r="U65" s="21" t="s">
        <v>184</v>
      </c>
      <c r="V65" s="46" t="s">
        <v>183</v>
      </c>
      <c r="W65" s="23">
        <f>sales[[#This Row],[ميعاد التسليم]]-sales[[#This Row],[ميعاد الطلب]]</f>
        <v>67</v>
      </c>
      <c r="X65" s="32">
        <f>sales[[#This Row],[تاريخ التسليم]]-sales[[#This Row],[ميعاد التسليم]]</f>
        <v>-35</v>
      </c>
      <c r="Y65" s="32" t="str">
        <f>IF(sales[[#This Row],[فرق البضاغه المتسلمه]]&lt;=2,"تم تسليم فى الموعد","تسليم متاخر")</f>
        <v>تم تسليم فى الموعد</v>
      </c>
    </row>
    <row r="66" spans="1:25" ht="20.100000000000001" customHeight="1" x14ac:dyDescent="0.25">
      <c r="A66" s="35">
        <v>65</v>
      </c>
      <c r="B66" s="34">
        <v>1679731</v>
      </c>
      <c r="C66" s="34">
        <v>1271291</v>
      </c>
      <c r="D66" s="65" t="s">
        <v>171</v>
      </c>
      <c r="E66" s="57" t="s">
        <v>324</v>
      </c>
      <c r="F66" s="65" t="s">
        <v>172</v>
      </c>
      <c r="G66" s="21"/>
      <c r="H66" s="57" t="s">
        <v>8</v>
      </c>
      <c r="I66" s="57" t="s">
        <v>139</v>
      </c>
      <c r="J66" s="21" t="s">
        <v>153</v>
      </c>
      <c r="K66" s="21" t="s">
        <v>144</v>
      </c>
      <c r="L66" s="21">
        <v>80</v>
      </c>
      <c r="M66" s="76" t="s">
        <v>155</v>
      </c>
      <c r="N66" s="21"/>
      <c r="O66" s="21"/>
      <c r="P66" s="46">
        <v>10999</v>
      </c>
      <c r="Q66" s="23" t="s">
        <v>107</v>
      </c>
      <c r="R66" s="61" t="s">
        <v>180</v>
      </c>
      <c r="S66" s="61">
        <v>45616</v>
      </c>
      <c r="T66" s="61">
        <v>45581</v>
      </c>
      <c r="U66" s="21" t="s">
        <v>184</v>
      </c>
      <c r="V66" s="46" t="s">
        <v>183</v>
      </c>
      <c r="W66" s="23">
        <f>sales[[#This Row],[ميعاد التسليم]]-sales[[#This Row],[ميعاد الطلب]]</f>
        <v>66</v>
      </c>
      <c r="X66" s="32">
        <f>sales[[#This Row],[تاريخ التسليم]]-sales[[#This Row],[ميعاد التسليم]]</f>
        <v>-35</v>
      </c>
      <c r="Y66" s="32" t="str">
        <f>IF(sales[[#This Row],[فرق البضاغه المتسلمه]]&lt;=2,"تم تسليم فى الموعد","تسليم متاخر")</f>
        <v>تم تسليم فى الموعد</v>
      </c>
    </row>
    <row r="67" spans="1:25" ht="20.100000000000001" customHeight="1" x14ac:dyDescent="0.25">
      <c r="A67" s="35">
        <v>66</v>
      </c>
      <c r="B67" s="34">
        <v>1679739</v>
      </c>
      <c r="C67" s="34">
        <v>1271291</v>
      </c>
      <c r="D67" s="65" t="s">
        <v>171</v>
      </c>
      <c r="E67" s="57" t="s">
        <v>324</v>
      </c>
      <c r="F67" s="65" t="s">
        <v>172</v>
      </c>
      <c r="G67" s="21"/>
      <c r="H67" s="57" t="s">
        <v>8</v>
      </c>
      <c r="I67" s="57" t="s">
        <v>139</v>
      </c>
      <c r="J67" s="21" t="s">
        <v>153</v>
      </c>
      <c r="K67" s="21" t="s">
        <v>144</v>
      </c>
      <c r="L67" s="21">
        <v>80</v>
      </c>
      <c r="M67" s="76" t="s">
        <v>155</v>
      </c>
      <c r="N67" s="21"/>
      <c r="O67" s="21"/>
      <c r="P67" s="46">
        <v>10999</v>
      </c>
      <c r="Q67" s="23" t="s">
        <v>107</v>
      </c>
      <c r="R67" s="61" t="s">
        <v>180</v>
      </c>
      <c r="S67" s="61">
        <v>45616</v>
      </c>
      <c r="T67" s="61">
        <v>45581</v>
      </c>
      <c r="U67" s="21" t="s">
        <v>184</v>
      </c>
      <c r="V67" s="46" t="s">
        <v>183</v>
      </c>
      <c r="W67" s="23">
        <f>sales[[#This Row],[ميعاد التسليم]]-sales[[#This Row],[ميعاد الطلب]]</f>
        <v>66</v>
      </c>
      <c r="X67" s="32">
        <f>sales[[#This Row],[تاريخ التسليم]]-sales[[#This Row],[ميعاد التسليم]]</f>
        <v>-35</v>
      </c>
      <c r="Y67" s="32" t="str">
        <f>IF(sales[[#This Row],[فرق البضاغه المتسلمه]]&lt;=2,"تم تسليم فى الموعد","تسليم متاخر")</f>
        <v>تم تسليم فى الموعد</v>
      </c>
    </row>
    <row r="68" spans="1:25" ht="20.100000000000001" customHeight="1" x14ac:dyDescent="0.25">
      <c r="A68" s="35">
        <v>67</v>
      </c>
      <c r="B68" s="34">
        <v>1670668</v>
      </c>
      <c r="C68" s="34">
        <v>1268695</v>
      </c>
      <c r="D68" s="65" t="s">
        <v>173</v>
      </c>
      <c r="E68" s="57" t="s">
        <v>324</v>
      </c>
      <c r="F68" s="65" t="s">
        <v>174</v>
      </c>
      <c r="G68" s="21"/>
      <c r="H68" s="57" t="s">
        <v>8</v>
      </c>
      <c r="I68" s="46" t="s">
        <v>154</v>
      </c>
      <c r="J68" s="21" t="s">
        <v>152</v>
      </c>
      <c r="K68" s="21"/>
      <c r="L68" s="21"/>
      <c r="M68" s="76" t="s">
        <v>156</v>
      </c>
      <c r="N68" s="21" t="s">
        <v>160</v>
      </c>
      <c r="O68" s="21"/>
      <c r="P68" s="46">
        <v>21999</v>
      </c>
      <c r="Q68" s="23" t="s">
        <v>107</v>
      </c>
      <c r="R68" s="61" t="s">
        <v>180</v>
      </c>
      <c r="S68" s="61">
        <v>45616</v>
      </c>
      <c r="T68" s="61">
        <v>45584</v>
      </c>
      <c r="U68" s="21" t="s">
        <v>184</v>
      </c>
      <c r="V68" s="46" t="s">
        <v>183</v>
      </c>
      <c r="W68" s="23">
        <f>sales[[#This Row],[ميعاد التسليم]]-sales[[#This Row],[ميعاد الطلب]]</f>
        <v>66</v>
      </c>
      <c r="X68" s="32">
        <f>sales[[#This Row],[تاريخ التسليم]]-sales[[#This Row],[ميعاد التسليم]]</f>
        <v>-32</v>
      </c>
      <c r="Y68" s="32" t="str">
        <f>IF(sales[[#This Row],[فرق البضاغه المتسلمه]]&lt;=2,"تم تسليم فى الموعد","تسليم متاخر")</f>
        <v>تم تسليم فى الموعد</v>
      </c>
    </row>
    <row r="69" spans="1:25" ht="20.100000000000001" customHeight="1" x14ac:dyDescent="0.25">
      <c r="A69" s="52">
        <v>68</v>
      </c>
      <c r="B69" s="32">
        <v>1416625</v>
      </c>
      <c r="C69" s="32">
        <v>1205197</v>
      </c>
      <c r="D69" s="57" t="s">
        <v>181</v>
      </c>
      <c r="E69" s="57" t="s">
        <v>324</v>
      </c>
      <c r="F69" s="46" t="s">
        <v>134</v>
      </c>
      <c r="G69" s="20"/>
      <c r="H69" s="57" t="s">
        <v>8</v>
      </c>
      <c r="I69" s="46" t="s">
        <v>146</v>
      </c>
      <c r="J69" s="21" t="s">
        <v>175</v>
      </c>
      <c r="K69" s="20"/>
      <c r="L69" s="20"/>
      <c r="M69" s="76" t="s">
        <v>191</v>
      </c>
      <c r="N69" s="20"/>
      <c r="O69" s="20"/>
      <c r="P69" s="57">
        <v>7849</v>
      </c>
      <c r="Q69" s="22">
        <v>6306</v>
      </c>
      <c r="R69" s="61" t="s">
        <v>182</v>
      </c>
      <c r="S69" s="61">
        <v>45595</v>
      </c>
      <c r="T69" s="61">
        <v>45610</v>
      </c>
      <c r="U69" s="21" t="s">
        <v>26</v>
      </c>
      <c r="V69" s="46" t="s">
        <v>183</v>
      </c>
      <c r="W69" s="23">
        <f>sales[[#This Row],[ميعاد التسليم]]-sales[[#This Row],[ميعاد الطلب]]</f>
        <v>44</v>
      </c>
      <c r="X69" s="32">
        <f>sales[[#This Row],[تاريخ التسليم]]-sales[[#This Row],[ميعاد التسليم]]</f>
        <v>15</v>
      </c>
      <c r="Y69" s="32" t="str">
        <f>IF(sales[[#This Row],[فرق البضاغه المتسلمه]]&lt;=2,"تم تسليم فى الموعد","تسليم متاخر")</f>
        <v>تسليم متاخر</v>
      </c>
    </row>
    <row r="70" spans="1:25" ht="20.100000000000001" customHeight="1" x14ac:dyDescent="0.25">
      <c r="A70" s="35">
        <v>69</v>
      </c>
      <c r="B70" s="21"/>
      <c r="C70" s="21"/>
      <c r="D70" s="46" t="s">
        <v>76</v>
      </c>
      <c r="E70" s="57" t="s">
        <v>325</v>
      </c>
      <c r="F70" s="46" t="s">
        <v>185</v>
      </c>
      <c r="G70" s="21"/>
      <c r="H70" s="46" t="s">
        <v>51</v>
      </c>
      <c r="I70" s="57" t="s">
        <v>139</v>
      </c>
      <c r="J70" s="21" t="s">
        <v>153</v>
      </c>
      <c r="K70" s="21" t="s">
        <v>144</v>
      </c>
      <c r="L70" s="21">
        <v>80</v>
      </c>
      <c r="M70" s="76" t="s">
        <v>155</v>
      </c>
      <c r="N70" s="21"/>
      <c r="O70" s="21"/>
      <c r="P70" s="46">
        <v>5074</v>
      </c>
      <c r="Q70" s="23" t="s">
        <v>78</v>
      </c>
      <c r="R70" s="61">
        <v>45556</v>
      </c>
      <c r="S70" s="61">
        <v>45570</v>
      </c>
      <c r="T70" s="61">
        <v>45577</v>
      </c>
      <c r="U70" s="21" t="s">
        <v>184</v>
      </c>
      <c r="V70" s="46" t="s">
        <v>183</v>
      </c>
      <c r="W70" s="23">
        <f>sales[[#This Row],[ميعاد التسليم]]-sales[[#This Row],[ميعاد الطلب]]</f>
        <v>14</v>
      </c>
      <c r="X70" s="32">
        <f>sales[[#This Row],[تاريخ التسليم]]-sales[[#This Row],[ميعاد التسليم]]</f>
        <v>7</v>
      </c>
      <c r="Y70" s="32" t="str">
        <f>IF(sales[[#This Row],[فرق البضاغه المتسلمه]]&lt;=2,"تم تسليم فى الموعد","تسليم متاخر")</f>
        <v>تسليم متاخر</v>
      </c>
    </row>
    <row r="71" spans="1:25" ht="20.100000000000001" customHeight="1" x14ac:dyDescent="0.25">
      <c r="A71" s="35">
        <v>70</v>
      </c>
      <c r="B71" s="21">
        <v>2514</v>
      </c>
      <c r="C71" s="21">
        <v>2514</v>
      </c>
      <c r="D71" s="46" t="s">
        <v>38</v>
      </c>
      <c r="E71" s="57" t="s">
        <v>325</v>
      </c>
      <c r="F71" s="46" t="s">
        <v>39</v>
      </c>
      <c r="G71" s="21"/>
      <c r="H71" s="46" t="s">
        <v>40</v>
      </c>
      <c r="I71" s="57" t="s">
        <v>139</v>
      </c>
      <c r="J71" s="21" t="s">
        <v>153</v>
      </c>
      <c r="K71" s="21" t="s">
        <v>143</v>
      </c>
      <c r="L71" s="45">
        <v>100</v>
      </c>
      <c r="M71" s="76" t="s">
        <v>186</v>
      </c>
      <c r="N71" s="21"/>
      <c r="O71" s="21"/>
      <c r="P71" s="46">
        <v>6250</v>
      </c>
      <c r="Q71" s="23" t="s">
        <v>78</v>
      </c>
      <c r="R71" s="61">
        <v>45558</v>
      </c>
      <c r="S71" s="61">
        <v>45573</v>
      </c>
      <c r="T71" s="61">
        <v>45582</v>
      </c>
      <c r="U71" s="21" t="s">
        <v>184</v>
      </c>
      <c r="V71" s="46" t="s">
        <v>183</v>
      </c>
      <c r="W71" s="23">
        <f>sales[[#This Row],[ميعاد التسليم]]-sales[[#This Row],[ميعاد الطلب]]</f>
        <v>15</v>
      </c>
      <c r="X71" s="32">
        <f>sales[[#This Row],[تاريخ التسليم]]-sales[[#This Row],[ميعاد التسليم]]</f>
        <v>9</v>
      </c>
      <c r="Y71" s="32" t="str">
        <f>IF(sales[[#This Row],[فرق البضاغه المتسلمه]]&lt;=2,"تم تسليم فى الموعد","تسليم متاخر")</f>
        <v>تسليم متاخر</v>
      </c>
    </row>
    <row r="72" spans="1:25" ht="20.100000000000001" customHeight="1" x14ac:dyDescent="0.25">
      <c r="A72" s="35">
        <v>71</v>
      </c>
      <c r="B72" s="21">
        <v>2514</v>
      </c>
      <c r="C72" s="21">
        <v>2514</v>
      </c>
      <c r="D72" s="46" t="s">
        <v>38</v>
      </c>
      <c r="E72" s="57" t="s">
        <v>325</v>
      </c>
      <c r="F72" s="46" t="s">
        <v>39</v>
      </c>
      <c r="G72" s="21"/>
      <c r="H72" s="46" t="s">
        <v>40</v>
      </c>
      <c r="I72" s="57" t="s">
        <v>139</v>
      </c>
      <c r="J72" s="21" t="s">
        <v>153</v>
      </c>
      <c r="K72" s="21" t="s">
        <v>143</v>
      </c>
      <c r="L72" s="45">
        <v>100</v>
      </c>
      <c r="M72" s="76" t="s">
        <v>186</v>
      </c>
      <c r="N72" s="21"/>
      <c r="O72" s="21"/>
      <c r="P72" s="46">
        <v>6250</v>
      </c>
      <c r="Q72" s="23" t="s">
        <v>78</v>
      </c>
      <c r="R72" s="61">
        <v>45558</v>
      </c>
      <c r="S72" s="61">
        <v>45573</v>
      </c>
      <c r="T72" s="61">
        <v>45582</v>
      </c>
      <c r="U72" s="21" t="s">
        <v>184</v>
      </c>
      <c r="V72" s="46" t="s">
        <v>183</v>
      </c>
      <c r="W72" s="23">
        <f>sales[[#This Row],[ميعاد التسليم]]-sales[[#This Row],[ميعاد الطلب]]</f>
        <v>15</v>
      </c>
      <c r="X72" s="32">
        <f>sales[[#This Row],[تاريخ التسليم]]-sales[[#This Row],[ميعاد التسليم]]</f>
        <v>9</v>
      </c>
      <c r="Y72" s="32" t="str">
        <f>IF(sales[[#This Row],[فرق البضاغه المتسلمه]]&lt;=2,"تم تسليم فى الموعد","تسليم متاخر")</f>
        <v>تسليم متاخر</v>
      </c>
    </row>
    <row r="73" spans="1:25" ht="20.100000000000001" customHeight="1" x14ac:dyDescent="0.25">
      <c r="A73" s="35">
        <v>72</v>
      </c>
      <c r="B73" s="21">
        <v>1706794</v>
      </c>
      <c r="C73" s="21">
        <v>1281428</v>
      </c>
      <c r="D73" s="46" t="s">
        <v>187</v>
      </c>
      <c r="E73" s="57" t="s">
        <v>324</v>
      </c>
      <c r="F73" s="46" t="s">
        <v>39</v>
      </c>
      <c r="G73" s="21"/>
      <c r="H73" s="57" t="s">
        <v>8</v>
      </c>
      <c r="I73" s="57" t="s">
        <v>139</v>
      </c>
      <c r="J73" s="21" t="s">
        <v>142</v>
      </c>
      <c r="K73" s="21" t="s">
        <v>165</v>
      </c>
      <c r="L73" s="21">
        <v>120</v>
      </c>
      <c r="M73" s="76" t="s">
        <v>155</v>
      </c>
      <c r="N73" s="21"/>
      <c r="O73" s="21"/>
      <c r="P73" s="46">
        <v>8943</v>
      </c>
      <c r="Q73" s="23">
        <v>9033</v>
      </c>
      <c r="R73" s="61">
        <v>45561</v>
      </c>
      <c r="S73" s="61">
        <v>45606</v>
      </c>
      <c r="T73" s="61">
        <v>45575</v>
      </c>
      <c r="U73" s="21" t="s">
        <v>184</v>
      </c>
      <c r="V73" s="46" t="s">
        <v>183</v>
      </c>
      <c r="W73" s="23">
        <f>sales[[#This Row],[ميعاد التسليم]]-sales[[#This Row],[ميعاد الطلب]]</f>
        <v>45</v>
      </c>
      <c r="X73" s="32">
        <f>sales[[#This Row],[تاريخ التسليم]]-sales[[#This Row],[ميعاد التسليم]]</f>
        <v>-31</v>
      </c>
      <c r="Y73" s="32" t="str">
        <f>IF(sales[[#This Row],[فرق البضاغه المتسلمه]]&lt;=2,"تم تسليم فى الموعد","تسليم متاخر")</f>
        <v>تم تسليم فى الموعد</v>
      </c>
    </row>
    <row r="74" spans="1:25" ht="20.100000000000001" customHeight="1" x14ac:dyDescent="0.25">
      <c r="A74" s="31">
        <v>73</v>
      </c>
      <c r="B74" s="24">
        <v>1704621</v>
      </c>
      <c r="C74" s="24">
        <v>1280197</v>
      </c>
      <c r="D74" s="46" t="s">
        <v>188</v>
      </c>
      <c r="E74" s="57" t="s">
        <v>324</v>
      </c>
      <c r="F74" s="46" t="s">
        <v>189</v>
      </c>
      <c r="G74" s="24"/>
      <c r="H74" s="57" t="s">
        <v>8</v>
      </c>
      <c r="I74" s="46" t="s">
        <v>146</v>
      </c>
      <c r="J74" s="24" t="s">
        <v>177</v>
      </c>
      <c r="K74" s="24"/>
      <c r="L74" s="24"/>
      <c r="M74" s="76" t="s">
        <v>191</v>
      </c>
      <c r="N74" s="24"/>
      <c r="O74" s="24"/>
      <c r="P74" s="46">
        <v>8349</v>
      </c>
      <c r="Q74" s="25">
        <v>8433</v>
      </c>
      <c r="R74" s="61">
        <v>45561</v>
      </c>
      <c r="S74" s="61">
        <v>45606</v>
      </c>
      <c r="T74" s="61"/>
      <c r="U74" s="24"/>
      <c r="V74" s="46" t="s">
        <v>213</v>
      </c>
      <c r="W74" s="23">
        <f>sales[[#This Row],[ميعاد التسليم]]-sales[[#This Row],[ميعاد الطلب]]</f>
        <v>45</v>
      </c>
      <c r="X74" s="32">
        <f>sales[[#This Row],[تاريخ التسليم]]-sales[[#This Row],[ميعاد التسليم]]</f>
        <v>-45606</v>
      </c>
      <c r="Y74" s="32" t="str">
        <f>IF(sales[[#This Row],[فرق البضاغه المتسلمه]]&lt;=2,"تم تسليم فى الموعد","تسليم متاخر")</f>
        <v>تم تسليم فى الموعد</v>
      </c>
    </row>
    <row r="75" spans="1:25" ht="20.100000000000001" customHeight="1" x14ac:dyDescent="0.25">
      <c r="A75" s="35">
        <v>74</v>
      </c>
      <c r="B75" s="21">
        <v>240078066</v>
      </c>
      <c r="C75" s="21"/>
      <c r="D75" s="46" t="s">
        <v>29</v>
      </c>
      <c r="E75" s="57" t="s">
        <v>325</v>
      </c>
      <c r="F75" s="46" t="s">
        <v>205</v>
      </c>
      <c r="G75" s="21"/>
      <c r="H75" s="46" t="s">
        <v>29</v>
      </c>
      <c r="I75" s="46" t="s">
        <v>154</v>
      </c>
      <c r="J75" s="21" t="s">
        <v>190</v>
      </c>
      <c r="K75" s="21"/>
      <c r="L75" s="21"/>
      <c r="M75" s="21" t="s">
        <v>202</v>
      </c>
      <c r="N75" s="21" t="s">
        <v>202</v>
      </c>
      <c r="O75" s="21"/>
      <c r="P75" s="46">
        <v>14950</v>
      </c>
      <c r="Q75" s="23" t="s">
        <v>16</v>
      </c>
      <c r="R75" s="61">
        <v>45561</v>
      </c>
      <c r="S75" s="61">
        <v>45579</v>
      </c>
      <c r="T75" s="61">
        <v>45578</v>
      </c>
      <c r="U75" s="21" t="s">
        <v>184</v>
      </c>
      <c r="V75" s="46" t="s">
        <v>183</v>
      </c>
      <c r="W75" s="23">
        <f>sales[[#This Row],[ميعاد التسليم]]-sales[[#This Row],[ميعاد الطلب]]</f>
        <v>18</v>
      </c>
      <c r="X75" s="32">
        <f>sales[[#This Row],[تاريخ التسليم]]-sales[[#This Row],[ميعاد التسليم]]</f>
        <v>-1</v>
      </c>
      <c r="Y75" s="32" t="str">
        <f>IF(sales[[#This Row],[فرق البضاغه المتسلمه]]&lt;=2,"تم تسليم فى الموعد","تسليم متاخر")</f>
        <v>تم تسليم فى الموعد</v>
      </c>
    </row>
    <row r="76" spans="1:25" ht="20.100000000000001" customHeight="1" x14ac:dyDescent="0.25">
      <c r="A76" s="29">
        <v>75</v>
      </c>
      <c r="B76" s="47">
        <v>240077789</v>
      </c>
      <c r="C76" s="26"/>
      <c r="D76" s="46" t="s">
        <v>29</v>
      </c>
      <c r="E76" s="57" t="s">
        <v>325</v>
      </c>
      <c r="F76" s="46" t="s">
        <v>205</v>
      </c>
      <c r="G76" s="26"/>
      <c r="H76" s="46" t="s">
        <v>29</v>
      </c>
      <c r="I76" s="57" t="s">
        <v>139</v>
      </c>
      <c r="J76" s="26" t="s">
        <v>153</v>
      </c>
      <c r="K76" s="26" t="s">
        <v>143</v>
      </c>
      <c r="L76" s="26">
        <v>100</v>
      </c>
      <c r="M76" s="76" t="s">
        <v>191</v>
      </c>
      <c r="N76" s="26"/>
      <c r="O76" s="26"/>
      <c r="P76" s="46">
        <v>9208</v>
      </c>
      <c r="Q76" s="27">
        <v>9608</v>
      </c>
      <c r="R76" s="61">
        <v>45561</v>
      </c>
      <c r="S76" s="61">
        <v>45579</v>
      </c>
      <c r="T76" s="61"/>
      <c r="U76" s="26"/>
      <c r="V76" s="46" t="s">
        <v>213</v>
      </c>
      <c r="W76" s="23">
        <f>sales[[#This Row],[ميعاد التسليم]]-sales[[#This Row],[ميعاد الطلب]]</f>
        <v>18</v>
      </c>
      <c r="X76" s="32">
        <f>sales[[#This Row],[تاريخ التسليم]]-sales[[#This Row],[ميعاد التسليم]]</f>
        <v>-45579</v>
      </c>
      <c r="Y76" s="32" t="str">
        <f>IF(sales[[#This Row],[فرق البضاغه المتسلمه]]&lt;=2,"تم تسليم فى الموعد","تسليم متاخر")</f>
        <v>تم تسليم فى الموعد</v>
      </c>
    </row>
    <row r="77" spans="1:25" ht="20.100000000000001" customHeight="1" x14ac:dyDescent="0.25">
      <c r="A77" s="35">
        <v>76</v>
      </c>
      <c r="B77" s="48">
        <v>240078390</v>
      </c>
      <c r="C77" s="21"/>
      <c r="D77" s="46" t="s">
        <v>29</v>
      </c>
      <c r="E77" s="57" t="s">
        <v>325</v>
      </c>
      <c r="F77" s="46" t="s">
        <v>205</v>
      </c>
      <c r="G77" s="21"/>
      <c r="H77" s="46" t="s">
        <v>29</v>
      </c>
      <c r="I77" s="57" t="s">
        <v>139</v>
      </c>
      <c r="J77" s="21" t="s">
        <v>142</v>
      </c>
      <c r="K77" s="21" t="s">
        <v>145</v>
      </c>
      <c r="L77" s="21">
        <v>120</v>
      </c>
      <c r="M77" s="76" t="s">
        <v>155</v>
      </c>
      <c r="N77" s="21"/>
      <c r="O77" s="21"/>
      <c r="P77" s="46">
        <v>7433</v>
      </c>
      <c r="Q77" s="23" t="s">
        <v>16</v>
      </c>
      <c r="R77" s="61">
        <v>45564</v>
      </c>
      <c r="S77" s="61">
        <v>45585</v>
      </c>
      <c r="T77" s="61">
        <v>45586</v>
      </c>
      <c r="U77" s="21" t="s">
        <v>184</v>
      </c>
      <c r="V77" s="46" t="s">
        <v>183</v>
      </c>
      <c r="W77" s="23">
        <f>sales[[#This Row],[ميعاد التسليم]]-sales[[#This Row],[ميعاد الطلب]]</f>
        <v>21</v>
      </c>
      <c r="X77" s="32">
        <f>sales[[#This Row],[تاريخ التسليم]]-sales[[#This Row],[ميعاد التسليم]]</f>
        <v>1</v>
      </c>
      <c r="Y77" s="32" t="str">
        <f>IF(sales[[#This Row],[فرق البضاغه المتسلمه]]&lt;=2,"تم تسليم فى الموعد","تسليم متاخر")</f>
        <v>تم تسليم فى الموعد</v>
      </c>
    </row>
    <row r="78" spans="1:25" ht="20.100000000000001" customHeight="1" x14ac:dyDescent="0.25">
      <c r="A78" s="35">
        <v>77</v>
      </c>
      <c r="B78" s="21"/>
      <c r="C78" s="21"/>
      <c r="D78" s="46" t="s">
        <v>76</v>
      </c>
      <c r="E78" s="57" t="s">
        <v>325</v>
      </c>
      <c r="F78" s="46" t="s">
        <v>185</v>
      </c>
      <c r="G78" s="21"/>
      <c r="H78" s="46" t="s">
        <v>51</v>
      </c>
      <c r="I78" s="57" t="s">
        <v>139</v>
      </c>
      <c r="J78" s="21" t="s">
        <v>142</v>
      </c>
      <c r="K78" s="21" t="s">
        <v>165</v>
      </c>
      <c r="L78" s="21">
        <v>120</v>
      </c>
      <c r="M78" s="76" t="s">
        <v>155</v>
      </c>
      <c r="N78" s="21"/>
      <c r="O78" s="21"/>
      <c r="P78" s="46">
        <v>4020</v>
      </c>
      <c r="Q78" s="23" t="s">
        <v>78</v>
      </c>
      <c r="R78" s="61">
        <v>45564</v>
      </c>
      <c r="S78" s="61">
        <v>45577</v>
      </c>
      <c r="T78" s="61">
        <v>45577</v>
      </c>
      <c r="U78" s="21" t="s">
        <v>184</v>
      </c>
      <c r="V78" s="46" t="s">
        <v>183</v>
      </c>
      <c r="W78" s="23">
        <f>sales[[#This Row],[ميعاد التسليم]]-sales[[#This Row],[ميعاد الطلب]]</f>
        <v>13</v>
      </c>
      <c r="X78" s="32">
        <f>sales[[#This Row],[تاريخ التسليم]]-sales[[#This Row],[ميعاد التسليم]]</f>
        <v>0</v>
      </c>
      <c r="Y78" s="32" t="str">
        <f>IF(sales[[#This Row],[فرق البضاغه المتسلمه]]&lt;=2,"تم تسليم فى الموعد","تسليم متاخر")</f>
        <v>تم تسليم فى الموعد</v>
      </c>
    </row>
    <row r="79" spans="1:25" ht="20.100000000000001" customHeight="1" x14ac:dyDescent="0.25">
      <c r="A79" s="35">
        <v>78</v>
      </c>
      <c r="B79" s="21"/>
      <c r="C79" s="21"/>
      <c r="D79" s="46" t="s">
        <v>193</v>
      </c>
      <c r="E79" s="57" t="s">
        <v>324</v>
      </c>
      <c r="F79" s="46" t="s">
        <v>194</v>
      </c>
      <c r="G79" s="21"/>
      <c r="H79" s="46" t="s">
        <v>195</v>
      </c>
      <c r="I79" s="57" t="s">
        <v>139</v>
      </c>
      <c r="J79" s="21" t="s">
        <v>153</v>
      </c>
      <c r="K79" s="21" t="s">
        <v>196</v>
      </c>
      <c r="L79" s="21">
        <v>100</v>
      </c>
      <c r="M79" s="76" t="s">
        <v>197</v>
      </c>
      <c r="N79" s="21"/>
      <c r="O79" s="21"/>
      <c r="P79" s="46">
        <v>8544.9054400000005</v>
      </c>
      <c r="Q79" s="23"/>
      <c r="R79" s="61">
        <v>45566</v>
      </c>
      <c r="S79" s="61">
        <v>45574</v>
      </c>
      <c r="T79" s="61">
        <v>45574</v>
      </c>
      <c r="U79" s="21" t="s">
        <v>207</v>
      </c>
      <c r="V79" s="46" t="s">
        <v>183</v>
      </c>
      <c r="W79" s="23">
        <f>sales[[#This Row],[ميعاد التسليم]]-sales[[#This Row],[ميعاد الطلب]]</f>
        <v>8</v>
      </c>
      <c r="X79" s="32">
        <f>sales[[#This Row],[تاريخ التسليم]]-sales[[#This Row],[ميعاد التسليم]]</f>
        <v>0</v>
      </c>
      <c r="Y79" s="32" t="str">
        <f>IF(sales[[#This Row],[فرق البضاغه المتسلمه]]&lt;=2,"تم تسليم فى الموعد","تسليم متاخر")</f>
        <v>تم تسليم فى الموعد</v>
      </c>
    </row>
    <row r="80" spans="1:25" ht="20.100000000000001" customHeight="1" x14ac:dyDescent="0.3">
      <c r="A80" s="35">
        <v>79</v>
      </c>
      <c r="B80" s="21"/>
      <c r="C80" s="21"/>
      <c r="D80" s="46" t="s">
        <v>193</v>
      </c>
      <c r="E80" s="57" t="s">
        <v>324</v>
      </c>
      <c r="F80" s="46" t="s">
        <v>194</v>
      </c>
      <c r="G80" s="21"/>
      <c r="H80" s="46" t="s">
        <v>195</v>
      </c>
      <c r="I80" s="57" t="s">
        <v>139</v>
      </c>
      <c r="J80" s="21" t="s">
        <v>140</v>
      </c>
      <c r="K80" s="21"/>
      <c r="L80" s="21"/>
      <c r="M80" s="76" t="s">
        <v>200</v>
      </c>
      <c r="N80" s="21" t="s">
        <v>201</v>
      </c>
      <c r="O80" s="21"/>
      <c r="P80" s="59">
        <v>4600</v>
      </c>
      <c r="Q80" s="23"/>
      <c r="R80" s="61">
        <v>45566</v>
      </c>
      <c r="S80" s="61">
        <v>45574</v>
      </c>
      <c r="T80" s="61">
        <v>45574</v>
      </c>
      <c r="U80" s="21" t="s">
        <v>207</v>
      </c>
      <c r="V80" s="46" t="s">
        <v>183</v>
      </c>
      <c r="W80" s="23">
        <f>sales[[#This Row],[ميعاد التسليم]]-sales[[#This Row],[ميعاد الطلب]]</f>
        <v>8</v>
      </c>
      <c r="X80" s="32">
        <f>sales[[#This Row],[تاريخ التسليم]]-sales[[#This Row],[ميعاد التسليم]]</f>
        <v>0</v>
      </c>
      <c r="Y80" s="32" t="str">
        <f>IF(sales[[#This Row],[فرق البضاغه المتسلمه]]&lt;=2,"تم تسليم فى الموعد","تسليم متاخر")</f>
        <v>تم تسليم فى الموعد</v>
      </c>
    </row>
    <row r="81" spans="1:25" ht="20.100000000000001" customHeight="1" x14ac:dyDescent="0.25">
      <c r="A81" s="35">
        <v>80</v>
      </c>
      <c r="B81" s="21"/>
      <c r="C81" s="21"/>
      <c r="D81" s="46" t="s">
        <v>193</v>
      </c>
      <c r="E81" s="57" t="s">
        <v>324</v>
      </c>
      <c r="F81" s="46" t="s">
        <v>194</v>
      </c>
      <c r="G81" s="21"/>
      <c r="H81" s="46" t="s">
        <v>195</v>
      </c>
      <c r="I81" s="46" t="s">
        <v>154</v>
      </c>
      <c r="J81" s="21" t="s">
        <v>198</v>
      </c>
      <c r="K81" s="21"/>
      <c r="L81" s="21"/>
      <c r="M81" s="76" t="s">
        <v>156</v>
      </c>
      <c r="N81" s="21" t="s">
        <v>199</v>
      </c>
      <c r="O81" s="21"/>
      <c r="P81" s="46">
        <v>10000</v>
      </c>
      <c r="Q81" s="23"/>
      <c r="R81" s="61">
        <v>45566</v>
      </c>
      <c r="S81" s="61">
        <v>45574</v>
      </c>
      <c r="T81" s="61">
        <v>45574</v>
      </c>
      <c r="U81" s="21" t="s">
        <v>207</v>
      </c>
      <c r="V81" s="46" t="s">
        <v>183</v>
      </c>
      <c r="W81" s="23">
        <f>sales[[#This Row],[ميعاد التسليم]]-sales[[#This Row],[ميعاد الطلب]]</f>
        <v>8</v>
      </c>
      <c r="X81" s="32">
        <f>sales[[#This Row],[تاريخ التسليم]]-sales[[#This Row],[ميعاد التسليم]]</f>
        <v>0</v>
      </c>
      <c r="Y81" s="32" t="str">
        <f>IF(sales[[#This Row],[فرق البضاغه المتسلمه]]&lt;=2,"تم تسليم فى الموعد","تسليم متاخر")</f>
        <v>تم تسليم فى الموعد</v>
      </c>
    </row>
    <row r="82" spans="1:25" ht="20.100000000000001" customHeight="1" x14ac:dyDescent="0.25">
      <c r="A82" s="29">
        <v>82</v>
      </c>
      <c r="B82" s="26">
        <v>1282228</v>
      </c>
      <c r="C82" s="26">
        <v>1708226</v>
      </c>
      <c r="D82" s="46" t="s">
        <v>203</v>
      </c>
      <c r="E82" s="57" t="s">
        <v>324</v>
      </c>
      <c r="F82" s="46" t="s">
        <v>204</v>
      </c>
      <c r="G82" s="26"/>
      <c r="H82" s="57" t="s">
        <v>8</v>
      </c>
      <c r="I82" s="57" t="s">
        <v>139</v>
      </c>
      <c r="J82" s="26" t="s">
        <v>140</v>
      </c>
      <c r="K82" s="26"/>
      <c r="L82" s="26"/>
      <c r="M82" s="76" t="s">
        <v>156</v>
      </c>
      <c r="N82" s="26" t="s">
        <v>156</v>
      </c>
      <c r="O82" s="26"/>
      <c r="P82" s="46">
        <v>8899</v>
      </c>
      <c r="Q82" s="27">
        <v>8988</v>
      </c>
      <c r="R82" s="61">
        <v>45568</v>
      </c>
      <c r="S82" s="61">
        <v>45613</v>
      </c>
      <c r="T82" s="61"/>
      <c r="U82" s="26"/>
      <c r="V82" s="46" t="s">
        <v>183</v>
      </c>
      <c r="W82" s="23">
        <f>sales[[#This Row],[ميعاد التسليم]]-sales[[#This Row],[ميعاد الطلب]]</f>
        <v>45</v>
      </c>
      <c r="X82" s="32">
        <f>sales[[#This Row],[تاريخ التسليم]]-sales[[#This Row],[ميعاد التسليم]]</f>
        <v>-45613</v>
      </c>
      <c r="Y82" s="32" t="str">
        <f>IF(sales[[#This Row],[فرق البضاغه المتسلمه]]&lt;=2,"تم تسليم فى الموعد","تسليم متاخر")</f>
        <v>تم تسليم فى الموعد</v>
      </c>
    </row>
    <row r="83" spans="1:25" ht="20.100000000000001" customHeight="1" x14ac:dyDescent="0.25">
      <c r="A83" s="35">
        <v>83</v>
      </c>
      <c r="B83" s="48">
        <v>240079328</v>
      </c>
      <c r="C83" s="21"/>
      <c r="D83" s="46" t="s">
        <v>29</v>
      </c>
      <c r="E83" s="57" t="s">
        <v>325</v>
      </c>
      <c r="F83" s="46" t="s">
        <v>205</v>
      </c>
      <c r="G83" s="21"/>
      <c r="H83" s="46" t="s">
        <v>29</v>
      </c>
      <c r="I83" s="46" t="s">
        <v>154</v>
      </c>
      <c r="J83" s="21" t="s">
        <v>190</v>
      </c>
      <c r="K83" s="21"/>
      <c r="L83" s="21"/>
      <c r="M83" s="76" t="s">
        <v>191</v>
      </c>
      <c r="N83" s="21" t="s">
        <v>206</v>
      </c>
      <c r="O83" s="21"/>
      <c r="P83" s="46">
        <v>14550</v>
      </c>
      <c r="Q83" s="23" t="s">
        <v>16</v>
      </c>
      <c r="R83" s="61">
        <v>45573</v>
      </c>
      <c r="S83" s="61">
        <v>45594</v>
      </c>
      <c r="T83" s="61">
        <v>45595</v>
      </c>
      <c r="U83" s="21" t="s">
        <v>184</v>
      </c>
      <c r="V83" s="46" t="s">
        <v>183</v>
      </c>
      <c r="W83" s="23">
        <f>sales[[#This Row],[ميعاد التسليم]]-sales[[#This Row],[ميعاد الطلب]]</f>
        <v>21</v>
      </c>
      <c r="X83" s="32">
        <f>sales[[#This Row],[تاريخ التسليم]]-sales[[#This Row],[ميعاد التسليم]]</f>
        <v>1</v>
      </c>
      <c r="Y83" s="32" t="str">
        <f>IF(sales[[#This Row],[فرق البضاغه المتسلمه]]&lt;=2,"تم تسليم فى الموعد","تسليم متاخر")</f>
        <v>تم تسليم فى الموعد</v>
      </c>
    </row>
    <row r="84" spans="1:25" ht="20.100000000000001" customHeight="1" x14ac:dyDescent="0.25">
      <c r="A84" s="35">
        <v>84</v>
      </c>
      <c r="B84" s="48">
        <v>240078933</v>
      </c>
      <c r="C84" s="21"/>
      <c r="D84" s="46" t="s">
        <v>29</v>
      </c>
      <c r="E84" s="57" t="s">
        <v>325</v>
      </c>
      <c r="F84" s="46" t="s">
        <v>189</v>
      </c>
      <c r="G84" s="21"/>
      <c r="H84" s="46" t="s">
        <v>29</v>
      </c>
      <c r="I84" s="46" t="s">
        <v>154</v>
      </c>
      <c r="J84" s="21" t="s">
        <v>190</v>
      </c>
      <c r="K84" s="21"/>
      <c r="L84" s="21"/>
      <c r="M84" s="76" t="s">
        <v>191</v>
      </c>
      <c r="N84" s="21" t="s">
        <v>206</v>
      </c>
      <c r="O84" s="21"/>
      <c r="P84" s="46">
        <v>14550</v>
      </c>
      <c r="Q84" s="23" t="s">
        <v>16</v>
      </c>
      <c r="R84" s="61">
        <v>45572</v>
      </c>
      <c r="S84" s="61">
        <v>45594</v>
      </c>
      <c r="T84" s="61">
        <v>45580</v>
      </c>
      <c r="U84" s="21" t="s">
        <v>184</v>
      </c>
      <c r="V84" s="46" t="s">
        <v>183</v>
      </c>
      <c r="W84" s="23">
        <f>sales[[#This Row],[ميعاد التسليم]]-sales[[#This Row],[ميعاد الطلب]]</f>
        <v>22</v>
      </c>
      <c r="X84" s="32">
        <f>sales[[#This Row],[تاريخ التسليم]]-sales[[#This Row],[ميعاد التسليم]]</f>
        <v>-14</v>
      </c>
      <c r="Y84" s="32" t="str">
        <f>IF(sales[[#This Row],[فرق البضاغه المتسلمه]]&lt;=2,"تم تسليم فى الموعد","تسليم متاخر")</f>
        <v>تم تسليم فى الموعد</v>
      </c>
    </row>
    <row r="85" spans="1:25" ht="20.100000000000001" customHeight="1" x14ac:dyDescent="0.25">
      <c r="A85" s="35">
        <v>85</v>
      </c>
      <c r="B85" s="21">
        <v>240079517</v>
      </c>
      <c r="C85" s="21"/>
      <c r="D85" s="46" t="s">
        <v>29</v>
      </c>
      <c r="E85" s="57" t="s">
        <v>325</v>
      </c>
      <c r="F85" s="46" t="s">
        <v>205</v>
      </c>
      <c r="G85" s="21"/>
      <c r="H85" s="46" t="s">
        <v>29</v>
      </c>
      <c r="I85" s="46" t="s">
        <v>154</v>
      </c>
      <c r="J85" s="21" t="s">
        <v>190</v>
      </c>
      <c r="K85" s="21"/>
      <c r="L85" s="21"/>
      <c r="M85" s="76" t="s">
        <v>191</v>
      </c>
      <c r="N85" s="21" t="s">
        <v>202</v>
      </c>
      <c r="O85" s="21"/>
      <c r="P85" s="46">
        <v>14550</v>
      </c>
      <c r="Q85" s="23">
        <v>11495</v>
      </c>
      <c r="R85" s="61">
        <v>45575</v>
      </c>
      <c r="S85" s="61">
        <v>45596</v>
      </c>
      <c r="T85" s="61">
        <v>45598</v>
      </c>
      <c r="U85" s="21" t="s">
        <v>184</v>
      </c>
      <c r="V85" s="46" t="s">
        <v>183</v>
      </c>
      <c r="W85" s="23">
        <f>sales[[#This Row],[ميعاد التسليم]]-sales[[#This Row],[ميعاد الطلب]]</f>
        <v>21</v>
      </c>
      <c r="X85" s="32">
        <f>sales[[#This Row],[تاريخ التسليم]]-sales[[#This Row],[ميعاد التسليم]]</f>
        <v>2</v>
      </c>
      <c r="Y85" s="32" t="str">
        <f>IF(sales[[#This Row],[فرق البضاغه المتسلمه]]&lt;=2,"تم تسليم فى الموعد","تسليم متاخر")</f>
        <v>تم تسليم فى الموعد</v>
      </c>
    </row>
    <row r="86" spans="1:25" ht="20.100000000000001" customHeight="1" x14ac:dyDescent="0.25">
      <c r="A86" s="35">
        <v>86</v>
      </c>
      <c r="B86" s="21">
        <v>1714623</v>
      </c>
      <c r="C86" s="21">
        <v>1284697</v>
      </c>
      <c r="D86" s="46" t="s">
        <v>208</v>
      </c>
      <c r="E86" s="57" t="s">
        <v>325</v>
      </c>
      <c r="F86" s="46" t="s">
        <v>62</v>
      </c>
      <c r="G86" s="21"/>
      <c r="H86" s="57" t="s">
        <v>8</v>
      </c>
      <c r="I86" s="57" t="s">
        <v>139</v>
      </c>
      <c r="J86" s="21" t="s">
        <v>153</v>
      </c>
      <c r="K86" s="21" t="s">
        <v>209</v>
      </c>
      <c r="L86" s="21" t="s">
        <v>210</v>
      </c>
      <c r="M86" s="76" t="s">
        <v>211</v>
      </c>
      <c r="N86" s="21"/>
      <c r="O86" s="21"/>
      <c r="P86" s="46">
        <v>12899</v>
      </c>
      <c r="Q86" s="23">
        <v>13028</v>
      </c>
      <c r="R86" s="61">
        <v>45578</v>
      </c>
      <c r="S86" s="61">
        <v>45643</v>
      </c>
      <c r="T86" s="61">
        <v>45598</v>
      </c>
      <c r="U86" s="21" t="s">
        <v>184</v>
      </c>
      <c r="V86" s="46" t="s">
        <v>183</v>
      </c>
      <c r="W86" s="23">
        <f>sales[[#This Row],[ميعاد التسليم]]-sales[[#This Row],[ميعاد الطلب]]</f>
        <v>65</v>
      </c>
      <c r="X86" s="32">
        <f>sales[[#This Row],[تاريخ التسليم]]-sales[[#This Row],[ميعاد التسليم]]</f>
        <v>-45</v>
      </c>
      <c r="Y86" s="32" t="str">
        <f>IF(sales[[#This Row],[فرق البضاغه المتسلمه]]&lt;=2,"تم تسليم فى الموعد","تسليم متاخر")</f>
        <v>تم تسليم فى الموعد</v>
      </c>
    </row>
    <row r="87" spans="1:25" ht="20.100000000000001" customHeight="1" x14ac:dyDescent="0.25">
      <c r="A87" s="35">
        <v>87</v>
      </c>
      <c r="B87" s="16">
        <v>1715473</v>
      </c>
      <c r="C87" s="16">
        <v>1285152</v>
      </c>
      <c r="D87" s="46" t="s">
        <v>212</v>
      </c>
      <c r="E87" s="57" t="s">
        <v>324</v>
      </c>
      <c r="F87" s="46" t="s">
        <v>45</v>
      </c>
      <c r="G87" s="21"/>
      <c r="H87" s="57" t="s">
        <v>8</v>
      </c>
      <c r="I87" s="57" t="s">
        <v>139</v>
      </c>
      <c r="J87" s="21" t="s">
        <v>153</v>
      </c>
      <c r="K87" s="21" t="s">
        <v>144</v>
      </c>
      <c r="L87" s="45">
        <v>80</v>
      </c>
      <c r="M87" s="76" t="s">
        <v>155</v>
      </c>
      <c r="N87" s="21"/>
      <c r="O87" s="21"/>
      <c r="P87" s="46">
        <v>10499</v>
      </c>
      <c r="Q87" s="23" t="s">
        <v>16</v>
      </c>
      <c r="R87" s="61">
        <v>45581</v>
      </c>
      <c r="S87" s="61">
        <v>45645</v>
      </c>
      <c r="T87" s="61">
        <v>45586</v>
      </c>
      <c r="U87" s="21" t="s">
        <v>184</v>
      </c>
      <c r="V87" s="46" t="s">
        <v>183</v>
      </c>
      <c r="W87" s="23">
        <f>sales[[#This Row],[ميعاد التسليم]]-sales[[#This Row],[ميعاد الطلب]]</f>
        <v>64</v>
      </c>
      <c r="X87" s="32">
        <f>sales[[#This Row],[تاريخ التسليم]]-sales[[#This Row],[ميعاد التسليم]]</f>
        <v>-59</v>
      </c>
      <c r="Y87" s="32" t="str">
        <f>IF(sales[[#This Row],[فرق البضاغه المتسلمه]]&lt;=2,"تم تسليم فى الموعد","تسليم متاخر")</f>
        <v>تم تسليم فى الموعد</v>
      </c>
    </row>
    <row r="88" spans="1:25" ht="20.100000000000001" customHeight="1" x14ac:dyDescent="0.25">
      <c r="A88" s="35">
        <v>89</v>
      </c>
      <c r="B88" s="21">
        <v>1715992</v>
      </c>
      <c r="C88" s="21">
        <v>1285423</v>
      </c>
      <c r="D88" s="46" t="s">
        <v>214</v>
      </c>
      <c r="E88" s="57" t="s">
        <v>324</v>
      </c>
      <c r="F88" s="46" t="s">
        <v>215</v>
      </c>
      <c r="G88" s="21"/>
      <c r="H88" s="57" t="s">
        <v>8</v>
      </c>
      <c r="I88" s="57" t="s">
        <v>139</v>
      </c>
      <c r="J88" s="21" t="s">
        <v>153</v>
      </c>
      <c r="K88" s="21" t="s">
        <v>141</v>
      </c>
      <c r="L88" s="21" t="s">
        <v>216</v>
      </c>
      <c r="M88" s="76" t="s">
        <v>211</v>
      </c>
      <c r="N88" s="21"/>
      <c r="O88" s="21"/>
      <c r="P88" s="46">
        <v>12899</v>
      </c>
      <c r="Q88" s="23" t="s">
        <v>16</v>
      </c>
      <c r="R88" s="61">
        <v>45582</v>
      </c>
      <c r="S88" s="61">
        <v>45648</v>
      </c>
      <c r="T88" s="61">
        <v>45629</v>
      </c>
      <c r="U88" s="21" t="s">
        <v>26</v>
      </c>
      <c r="V88" s="46" t="s">
        <v>183</v>
      </c>
      <c r="W88" s="23">
        <f>sales[[#This Row],[ميعاد التسليم]]-sales[[#This Row],[ميعاد الطلب]]</f>
        <v>66</v>
      </c>
      <c r="X88" s="32">
        <f>sales[[#This Row],[تاريخ التسليم]]-sales[[#This Row],[ميعاد التسليم]]</f>
        <v>-19</v>
      </c>
      <c r="Y88" s="32" t="str">
        <f>IF(sales[[#This Row],[فرق البضاغه المتسلمه]]&lt;=2,"تم تسليم فى الموعد","تسليم متاخر")</f>
        <v>تم تسليم فى الموعد</v>
      </c>
    </row>
    <row r="89" spans="1:25" ht="20.100000000000001" customHeight="1" x14ac:dyDescent="0.25">
      <c r="A89" s="35">
        <v>90</v>
      </c>
      <c r="B89" s="21" t="s">
        <v>218</v>
      </c>
      <c r="C89" s="32"/>
      <c r="D89" s="46" t="s">
        <v>217</v>
      </c>
      <c r="E89" s="57" t="s">
        <v>324</v>
      </c>
      <c r="F89" s="46" t="s">
        <v>219</v>
      </c>
      <c r="G89" s="21">
        <v>1211691428</v>
      </c>
      <c r="H89" s="46" t="s">
        <v>234</v>
      </c>
      <c r="I89" s="57" t="s">
        <v>139</v>
      </c>
      <c r="J89" s="21" t="s">
        <v>142</v>
      </c>
      <c r="K89" s="21" t="s">
        <v>220</v>
      </c>
      <c r="L89" s="21">
        <v>140</v>
      </c>
      <c r="M89" s="76" t="s">
        <v>202</v>
      </c>
      <c r="N89" s="21" t="s">
        <v>221</v>
      </c>
      <c r="O89" s="21"/>
      <c r="P89" s="46">
        <v>5135</v>
      </c>
      <c r="Q89" s="23" t="s">
        <v>16</v>
      </c>
      <c r="R89" s="61">
        <v>45585</v>
      </c>
      <c r="S89" s="61">
        <v>45613</v>
      </c>
      <c r="T89" s="61">
        <v>45610</v>
      </c>
      <c r="U89" s="21" t="s">
        <v>184</v>
      </c>
      <c r="V89" s="46" t="s">
        <v>183</v>
      </c>
      <c r="W89" s="23">
        <f>sales[[#This Row],[ميعاد التسليم]]-sales[[#This Row],[ميعاد الطلب]]</f>
        <v>28</v>
      </c>
      <c r="X89" s="32">
        <f>sales[[#This Row],[تاريخ التسليم]]-sales[[#This Row],[ميعاد التسليم]]</f>
        <v>-3</v>
      </c>
      <c r="Y89" s="32" t="str">
        <f>IF(sales[[#This Row],[فرق البضاغه المتسلمه]]&lt;=2,"تم تسليم فى الموعد","تسليم متاخر")</f>
        <v>تم تسليم فى الموعد</v>
      </c>
    </row>
    <row r="90" spans="1:25" ht="20.100000000000001" customHeight="1" x14ac:dyDescent="0.25">
      <c r="A90" s="35">
        <v>91</v>
      </c>
      <c r="B90" s="21">
        <v>240080607</v>
      </c>
      <c r="C90" s="21"/>
      <c r="D90" s="46" t="s">
        <v>29</v>
      </c>
      <c r="E90" s="57" t="s">
        <v>325</v>
      </c>
      <c r="F90" s="46" t="s">
        <v>189</v>
      </c>
      <c r="G90" s="21"/>
      <c r="H90" s="46" t="s">
        <v>29</v>
      </c>
      <c r="I90" s="57" t="s">
        <v>139</v>
      </c>
      <c r="J90" s="21" t="s">
        <v>153</v>
      </c>
      <c r="K90" s="21" t="s">
        <v>222</v>
      </c>
      <c r="L90" s="21">
        <v>100</v>
      </c>
      <c r="M90" s="76" t="s">
        <v>223</v>
      </c>
      <c r="N90" s="21"/>
      <c r="O90" s="21"/>
      <c r="P90" s="46">
        <v>12777.5</v>
      </c>
      <c r="Q90" s="23">
        <v>11277.5</v>
      </c>
      <c r="R90" s="61">
        <v>45587</v>
      </c>
      <c r="S90" s="61">
        <v>45608</v>
      </c>
      <c r="T90" s="61">
        <v>45614</v>
      </c>
      <c r="U90" s="21" t="s">
        <v>184</v>
      </c>
      <c r="V90" s="46" t="s">
        <v>183</v>
      </c>
      <c r="W90" s="23">
        <f>sales[[#This Row],[ميعاد التسليم]]-sales[[#This Row],[ميعاد الطلب]]</f>
        <v>21</v>
      </c>
      <c r="X90" s="32">
        <f>sales[[#This Row],[تاريخ التسليم]]-sales[[#This Row],[ميعاد التسليم]]</f>
        <v>6</v>
      </c>
      <c r="Y90" s="32" t="str">
        <f>IF(sales[[#This Row],[فرق البضاغه المتسلمه]]&lt;=2,"تم تسليم فى الموعد","تسليم متاخر")</f>
        <v>تسليم متاخر</v>
      </c>
    </row>
    <row r="91" spans="1:25" ht="20.100000000000001" customHeight="1" x14ac:dyDescent="0.25">
      <c r="A91" s="35">
        <v>92</v>
      </c>
      <c r="B91" s="21">
        <v>240080607</v>
      </c>
      <c r="C91" s="21"/>
      <c r="D91" s="46" t="s">
        <v>29</v>
      </c>
      <c r="E91" s="57" t="s">
        <v>325</v>
      </c>
      <c r="F91" s="46" t="s">
        <v>189</v>
      </c>
      <c r="G91" s="21"/>
      <c r="H91" s="46" t="s">
        <v>29</v>
      </c>
      <c r="I91" s="57" t="s">
        <v>139</v>
      </c>
      <c r="J91" s="21" t="s">
        <v>153</v>
      </c>
      <c r="K91" s="21" t="s">
        <v>222</v>
      </c>
      <c r="L91" s="21">
        <v>100</v>
      </c>
      <c r="M91" s="76" t="s">
        <v>223</v>
      </c>
      <c r="N91" s="21"/>
      <c r="O91" s="21"/>
      <c r="P91" s="46">
        <v>12777.5</v>
      </c>
      <c r="Q91" s="23">
        <v>11277.5</v>
      </c>
      <c r="R91" s="61">
        <v>45587</v>
      </c>
      <c r="S91" s="61">
        <v>45608</v>
      </c>
      <c r="T91" s="61">
        <v>45614</v>
      </c>
      <c r="U91" s="21" t="s">
        <v>184</v>
      </c>
      <c r="V91" s="46" t="s">
        <v>183</v>
      </c>
      <c r="W91" s="23">
        <f>sales[[#This Row],[ميعاد التسليم]]-sales[[#This Row],[ميعاد الطلب]]</f>
        <v>21</v>
      </c>
      <c r="X91" s="32">
        <f>sales[[#This Row],[تاريخ التسليم]]-sales[[#This Row],[ميعاد التسليم]]</f>
        <v>6</v>
      </c>
      <c r="Y91" s="32" t="str">
        <f>IF(sales[[#This Row],[فرق البضاغه المتسلمه]]&lt;=2,"تم تسليم فى الموعد","تسليم متاخر")</f>
        <v>تسليم متاخر</v>
      </c>
    </row>
    <row r="92" spans="1:25" ht="20.100000000000001" customHeight="1" x14ac:dyDescent="0.25">
      <c r="A92" s="29">
        <v>93</v>
      </c>
      <c r="B92" s="26"/>
      <c r="C92" s="26"/>
      <c r="D92" s="46" t="s">
        <v>76</v>
      </c>
      <c r="E92" s="57" t="s">
        <v>325</v>
      </c>
      <c r="F92" s="46" t="s">
        <v>224</v>
      </c>
      <c r="G92" s="26"/>
      <c r="H92" s="46" t="s">
        <v>51</v>
      </c>
      <c r="I92" s="57" t="s">
        <v>139</v>
      </c>
      <c r="J92" s="26" t="s">
        <v>153</v>
      </c>
      <c r="K92" s="26" t="s">
        <v>222</v>
      </c>
      <c r="L92" s="26">
        <v>100</v>
      </c>
      <c r="M92" s="76" t="s">
        <v>223</v>
      </c>
      <c r="N92" s="26"/>
      <c r="O92" s="26"/>
      <c r="P92" s="46">
        <v>8544.91</v>
      </c>
      <c r="Q92" s="27" t="s">
        <v>78</v>
      </c>
      <c r="R92" s="61">
        <v>45587</v>
      </c>
      <c r="S92" s="61" t="s">
        <v>300</v>
      </c>
      <c r="T92" s="61"/>
      <c r="U92" s="26"/>
      <c r="V92" s="46" t="s">
        <v>213</v>
      </c>
      <c r="W92" s="23" t="e">
        <f>sales[[#This Row],[ميعاد التسليم]]-sales[[#This Row],[ميعاد الطلب]]</f>
        <v>#VALUE!</v>
      </c>
      <c r="X92" s="32" t="e">
        <f>sales[[#This Row],[تاريخ التسليم]]-sales[[#This Row],[ميعاد التسليم]]</f>
        <v>#VALUE!</v>
      </c>
      <c r="Y92" s="32" t="e">
        <f>IF(sales[[#This Row],[فرق البضاغه المتسلمه]]&lt;=2,"تم تسليم فى الموعد","تسليم متاخر")</f>
        <v>#VALUE!</v>
      </c>
    </row>
    <row r="93" spans="1:25" ht="20.100000000000001" customHeight="1" x14ac:dyDescent="0.25">
      <c r="A93" s="35">
        <v>94</v>
      </c>
      <c r="B93" s="21">
        <v>1717458</v>
      </c>
      <c r="C93" s="21">
        <v>1286189</v>
      </c>
      <c r="D93" s="46" t="s">
        <v>225</v>
      </c>
      <c r="E93" s="57" t="s">
        <v>324</v>
      </c>
      <c r="F93" s="46" t="s">
        <v>189</v>
      </c>
      <c r="G93" s="21"/>
      <c r="H93" s="57" t="s">
        <v>8</v>
      </c>
      <c r="I93" s="57" t="s">
        <v>139</v>
      </c>
      <c r="J93" s="21" t="s">
        <v>142</v>
      </c>
      <c r="K93" s="21" t="s">
        <v>165</v>
      </c>
      <c r="L93" s="21">
        <v>120</v>
      </c>
      <c r="M93" s="76" t="s">
        <v>155</v>
      </c>
      <c r="N93" s="21"/>
      <c r="O93" s="21"/>
      <c r="P93" s="46">
        <v>8943</v>
      </c>
      <c r="Q93" s="23">
        <v>9007.01</v>
      </c>
      <c r="R93" s="61">
        <v>45586</v>
      </c>
      <c r="S93" s="61">
        <v>45610</v>
      </c>
      <c r="T93" s="61">
        <v>45614</v>
      </c>
      <c r="U93" s="21" t="s">
        <v>184</v>
      </c>
      <c r="V93" s="46" t="s">
        <v>183</v>
      </c>
      <c r="W93" s="23">
        <f>sales[[#This Row],[ميعاد التسليم]]-sales[[#This Row],[ميعاد الطلب]]</f>
        <v>24</v>
      </c>
      <c r="X93" s="32">
        <f>sales[[#This Row],[تاريخ التسليم]]-sales[[#This Row],[ميعاد التسليم]]</f>
        <v>4</v>
      </c>
      <c r="Y93" s="32" t="str">
        <f>IF(sales[[#This Row],[فرق البضاغه المتسلمه]]&lt;=2,"تم تسليم فى الموعد","تسليم متاخر")</f>
        <v>تسليم متاخر</v>
      </c>
    </row>
    <row r="94" spans="1:25" ht="20.100000000000001" customHeight="1" x14ac:dyDescent="0.25">
      <c r="A94" s="35">
        <v>95</v>
      </c>
      <c r="B94" s="48">
        <v>240080858</v>
      </c>
      <c r="C94" s="21"/>
      <c r="D94" s="46" t="s">
        <v>29</v>
      </c>
      <c r="E94" s="57" t="s">
        <v>325</v>
      </c>
      <c r="F94" s="46" t="s">
        <v>205</v>
      </c>
      <c r="G94" s="21"/>
      <c r="H94" s="46" t="s">
        <v>29</v>
      </c>
      <c r="I94" s="46" t="s">
        <v>154</v>
      </c>
      <c r="J94" s="21" t="s">
        <v>190</v>
      </c>
      <c r="K94" s="21"/>
      <c r="L94" s="21"/>
      <c r="M94" s="76" t="s">
        <v>156</v>
      </c>
      <c r="N94" s="21"/>
      <c r="O94" s="21"/>
      <c r="P94" s="46">
        <v>15516</v>
      </c>
      <c r="Q94" s="23" t="s">
        <v>16</v>
      </c>
      <c r="R94" s="61">
        <v>45589</v>
      </c>
      <c r="S94" s="61">
        <v>45610</v>
      </c>
      <c r="T94" s="61">
        <v>45595</v>
      </c>
      <c r="U94" s="21" t="s">
        <v>184</v>
      </c>
      <c r="V94" s="46" t="s">
        <v>183</v>
      </c>
      <c r="W94" s="23">
        <f>sales[[#This Row],[ميعاد التسليم]]-sales[[#This Row],[ميعاد الطلب]]</f>
        <v>21</v>
      </c>
      <c r="X94" s="32">
        <f>sales[[#This Row],[تاريخ التسليم]]-sales[[#This Row],[ميعاد التسليم]]</f>
        <v>-15</v>
      </c>
      <c r="Y94" s="32" t="str">
        <f>IF(sales[[#This Row],[فرق البضاغه المتسلمه]]&lt;=2,"تم تسليم فى الموعد","تسليم متاخر")</f>
        <v>تم تسليم فى الموعد</v>
      </c>
    </row>
    <row r="95" spans="1:25" ht="20.100000000000001" customHeight="1" x14ac:dyDescent="0.25">
      <c r="A95" s="29">
        <v>96</v>
      </c>
      <c r="B95" s="47">
        <v>240081061</v>
      </c>
      <c r="C95" s="26"/>
      <c r="D95" s="46" t="s">
        <v>29</v>
      </c>
      <c r="E95" s="57" t="s">
        <v>325</v>
      </c>
      <c r="F95" s="46" t="s">
        <v>205</v>
      </c>
      <c r="G95" s="26"/>
      <c r="H95" s="46" t="s">
        <v>29</v>
      </c>
      <c r="I95" s="57" t="s">
        <v>139</v>
      </c>
      <c r="J95" s="26" t="s">
        <v>153</v>
      </c>
      <c r="K95" s="26" t="s">
        <v>143</v>
      </c>
      <c r="L95" s="26">
        <v>100</v>
      </c>
      <c r="M95" s="76" t="s">
        <v>156</v>
      </c>
      <c r="N95" s="26"/>
      <c r="O95" s="26"/>
      <c r="P95" s="46">
        <v>10045</v>
      </c>
      <c r="Q95" s="27">
        <v>8879</v>
      </c>
      <c r="R95" s="61">
        <v>45591</v>
      </c>
      <c r="S95" s="61">
        <v>45612</v>
      </c>
      <c r="T95" s="61"/>
      <c r="U95" s="26"/>
      <c r="V95" s="46" t="s">
        <v>213</v>
      </c>
      <c r="W95" s="23">
        <f>sales[[#This Row],[ميعاد التسليم]]-sales[[#This Row],[ميعاد الطلب]]</f>
        <v>21</v>
      </c>
      <c r="X95" s="32">
        <f>sales[[#This Row],[تاريخ التسليم]]-sales[[#This Row],[ميعاد التسليم]]</f>
        <v>-45612</v>
      </c>
      <c r="Y95" s="32" t="str">
        <f>IF(sales[[#This Row],[فرق البضاغه المتسلمه]]&lt;=2,"تم تسليم فى الموعد","تسليم متاخر")</f>
        <v>تم تسليم فى الموعد</v>
      </c>
    </row>
    <row r="96" spans="1:25" ht="20.100000000000001" customHeight="1" x14ac:dyDescent="0.25">
      <c r="A96" s="35">
        <v>97</v>
      </c>
      <c r="B96" s="16">
        <v>1718948</v>
      </c>
      <c r="C96" s="16">
        <v>1286883</v>
      </c>
      <c r="D96" s="46" t="s">
        <v>121</v>
      </c>
      <c r="E96" s="57" t="s">
        <v>324</v>
      </c>
      <c r="F96" s="46" t="s">
        <v>226</v>
      </c>
      <c r="G96" s="21"/>
      <c r="H96" s="57" t="s">
        <v>8</v>
      </c>
      <c r="I96" s="57" t="s">
        <v>139</v>
      </c>
      <c r="J96" s="21" t="s">
        <v>153</v>
      </c>
      <c r="K96" s="21" t="s">
        <v>143</v>
      </c>
      <c r="L96" s="21">
        <v>90</v>
      </c>
      <c r="M96" s="76" t="s">
        <v>156</v>
      </c>
      <c r="N96" s="21"/>
      <c r="O96" s="21"/>
      <c r="P96" s="46">
        <v>11649</v>
      </c>
      <c r="Q96" s="23">
        <v>11749</v>
      </c>
      <c r="R96" s="61">
        <v>45591</v>
      </c>
      <c r="S96" s="61">
        <v>45606</v>
      </c>
      <c r="T96" s="61">
        <v>45614</v>
      </c>
      <c r="U96" s="21" t="s">
        <v>184</v>
      </c>
      <c r="V96" s="46" t="s">
        <v>183</v>
      </c>
      <c r="W96" s="23">
        <f>sales[[#This Row],[ميعاد التسليم]]-sales[[#This Row],[ميعاد الطلب]]</f>
        <v>15</v>
      </c>
      <c r="X96" s="32">
        <f>sales[[#This Row],[تاريخ التسليم]]-sales[[#This Row],[ميعاد التسليم]]</f>
        <v>8</v>
      </c>
      <c r="Y96" s="32" t="str">
        <f>IF(sales[[#This Row],[فرق البضاغه المتسلمه]]&lt;=2,"تم تسليم فى الموعد","تسليم متاخر")</f>
        <v>تسليم متاخر</v>
      </c>
    </row>
    <row r="97" spans="1:25" ht="20.100000000000001" customHeight="1" x14ac:dyDescent="0.25">
      <c r="A97" s="35">
        <v>98</v>
      </c>
      <c r="B97" s="16">
        <v>1718949</v>
      </c>
      <c r="C97" s="16">
        <v>1286883</v>
      </c>
      <c r="D97" s="46" t="s">
        <v>121</v>
      </c>
      <c r="E97" s="57" t="s">
        <v>324</v>
      </c>
      <c r="F97" s="46" t="s">
        <v>226</v>
      </c>
      <c r="G97" s="21"/>
      <c r="H97" s="57" t="s">
        <v>8</v>
      </c>
      <c r="I97" s="57" t="s">
        <v>139</v>
      </c>
      <c r="J97" s="21" t="s">
        <v>153</v>
      </c>
      <c r="K97" s="21" t="s">
        <v>143</v>
      </c>
      <c r="L97" s="21">
        <v>90</v>
      </c>
      <c r="M97" s="76" t="s">
        <v>156</v>
      </c>
      <c r="N97" s="21"/>
      <c r="O97" s="21"/>
      <c r="P97" s="46">
        <v>11649</v>
      </c>
      <c r="Q97" s="23">
        <v>11749</v>
      </c>
      <c r="R97" s="61">
        <v>45591</v>
      </c>
      <c r="S97" s="61">
        <v>45606</v>
      </c>
      <c r="T97" s="61">
        <v>45614</v>
      </c>
      <c r="U97" s="21" t="s">
        <v>184</v>
      </c>
      <c r="V97" s="46" t="s">
        <v>183</v>
      </c>
      <c r="W97" s="23">
        <f>sales[[#This Row],[ميعاد التسليم]]-sales[[#This Row],[ميعاد الطلب]]</f>
        <v>15</v>
      </c>
      <c r="X97" s="32">
        <f>sales[[#This Row],[تاريخ التسليم]]-sales[[#This Row],[ميعاد التسليم]]</f>
        <v>8</v>
      </c>
      <c r="Y97" s="32" t="str">
        <f>IF(sales[[#This Row],[فرق البضاغه المتسلمه]]&lt;=2,"تم تسليم فى الموعد","تسليم متاخر")</f>
        <v>تسليم متاخر</v>
      </c>
    </row>
    <row r="98" spans="1:25" ht="20.100000000000001" customHeight="1" x14ac:dyDescent="0.25">
      <c r="A98" s="35">
        <v>99</v>
      </c>
      <c r="B98" s="21"/>
      <c r="C98" s="21"/>
      <c r="D98" s="46" t="s">
        <v>227</v>
      </c>
      <c r="E98" s="57" t="s">
        <v>325</v>
      </c>
      <c r="F98" s="58" t="s">
        <v>99</v>
      </c>
      <c r="G98" s="21"/>
      <c r="H98" s="46" t="s">
        <v>228</v>
      </c>
      <c r="I98" s="57" t="s">
        <v>139</v>
      </c>
      <c r="J98" s="21" t="s">
        <v>142</v>
      </c>
      <c r="K98" s="21" t="s">
        <v>145</v>
      </c>
      <c r="L98" s="21">
        <v>100</v>
      </c>
      <c r="M98" s="76" t="s">
        <v>155</v>
      </c>
      <c r="N98" s="21"/>
      <c r="O98" s="21"/>
      <c r="P98" s="46">
        <v>5100</v>
      </c>
      <c r="Q98" s="23">
        <v>4800</v>
      </c>
      <c r="R98" s="61">
        <v>45593</v>
      </c>
      <c r="S98" s="61">
        <v>45607</v>
      </c>
      <c r="T98" s="61">
        <v>45617</v>
      </c>
      <c r="U98" s="21" t="s">
        <v>184</v>
      </c>
      <c r="V98" s="46" t="s">
        <v>183</v>
      </c>
      <c r="W98" s="23">
        <f>sales[[#This Row],[ميعاد التسليم]]-sales[[#This Row],[ميعاد الطلب]]</f>
        <v>14</v>
      </c>
      <c r="X98" s="32">
        <f>sales[[#This Row],[تاريخ التسليم]]-sales[[#This Row],[ميعاد التسليم]]</f>
        <v>10</v>
      </c>
      <c r="Y98" s="32" t="str">
        <f>IF(sales[[#This Row],[فرق البضاغه المتسلمه]]&lt;=2,"تم تسليم فى الموعد","تسليم متاخر")</f>
        <v>تسليم متاخر</v>
      </c>
    </row>
    <row r="99" spans="1:25" ht="20.100000000000001" customHeight="1" x14ac:dyDescent="0.25">
      <c r="A99" s="35">
        <v>100</v>
      </c>
      <c r="B99" s="21"/>
      <c r="C99" s="21"/>
      <c r="D99" s="46" t="s">
        <v>227</v>
      </c>
      <c r="E99" s="57" t="s">
        <v>325</v>
      </c>
      <c r="F99" s="58" t="s">
        <v>99</v>
      </c>
      <c r="G99" s="21"/>
      <c r="H99" s="46" t="s">
        <v>228</v>
      </c>
      <c r="I99" s="57" t="s">
        <v>139</v>
      </c>
      <c r="J99" s="21" t="s">
        <v>142</v>
      </c>
      <c r="K99" s="21" t="s">
        <v>145</v>
      </c>
      <c r="L99" s="21">
        <v>120</v>
      </c>
      <c r="M99" s="76" t="s">
        <v>155</v>
      </c>
      <c r="N99" s="21"/>
      <c r="O99" s="21"/>
      <c r="P99" s="46">
        <v>5300</v>
      </c>
      <c r="Q99" s="23">
        <v>4800</v>
      </c>
      <c r="R99" s="61">
        <v>45593</v>
      </c>
      <c r="S99" s="61">
        <v>45607</v>
      </c>
      <c r="T99" s="61">
        <v>45617</v>
      </c>
      <c r="U99" s="21" t="s">
        <v>184</v>
      </c>
      <c r="V99" s="46" t="s">
        <v>183</v>
      </c>
      <c r="W99" s="23">
        <f>sales[[#This Row],[ميعاد التسليم]]-sales[[#This Row],[ميعاد الطلب]]</f>
        <v>14</v>
      </c>
      <c r="X99" s="32">
        <f>sales[[#This Row],[تاريخ التسليم]]-sales[[#This Row],[ميعاد التسليم]]</f>
        <v>10</v>
      </c>
      <c r="Y99" s="32" t="str">
        <f>IF(sales[[#This Row],[فرق البضاغه المتسلمه]]&lt;=2,"تم تسليم فى الموعد","تسليم متاخر")</f>
        <v>تسليم متاخر</v>
      </c>
    </row>
    <row r="100" spans="1:25" ht="20.100000000000001" customHeight="1" x14ac:dyDescent="0.25">
      <c r="A100" s="35">
        <v>101</v>
      </c>
      <c r="B100" s="16">
        <v>1744766</v>
      </c>
      <c r="C100" s="16">
        <v>1298738</v>
      </c>
      <c r="D100" s="46" t="s">
        <v>229</v>
      </c>
      <c r="E100" s="57" t="s">
        <v>324</v>
      </c>
      <c r="F100" s="46" t="s">
        <v>235</v>
      </c>
      <c r="G100" s="21"/>
      <c r="H100" s="57" t="s">
        <v>8</v>
      </c>
      <c r="I100" s="57" t="s">
        <v>139</v>
      </c>
      <c r="J100" s="21" t="s">
        <v>153</v>
      </c>
      <c r="K100" s="21" t="s">
        <v>144</v>
      </c>
      <c r="L100" s="21">
        <v>80</v>
      </c>
      <c r="M100" s="76" t="s">
        <v>155</v>
      </c>
      <c r="N100" s="21"/>
      <c r="O100" s="21"/>
      <c r="P100" s="46">
        <v>12099</v>
      </c>
      <c r="Q100" s="23" t="s">
        <v>16</v>
      </c>
      <c r="R100" s="61">
        <v>45607</v>
      </c>
      <c r="S100" s="61">
        <v>45622</v>
      </c>
      <c r="T100" s="61">
        <v>45623</v>
      </c>
      <c r="U100" s="21" t="s">
        <v>184</v>
      </c>
      <c r="V100" s="46" t="s">
        <v>183</v>
      </c>
      <c r="W100" s="23">
        <f>sales[[#This Row],[ميعاد التسليم]]-sales[[#This Row],[ميعاد الطلب]]</f>
        <v>15</v>
      </c>
      <c r="X100" s="32">
        <f>sales[[#This Row],[تاريخ التسليم]]-sales[[#This Row],[ميعاد التسليم]]</f>
        <v>1</v>
      </c>
      <c r="Y100" s="32" t="str">
        <f>IF(sales[[#This Row],[فرق البضاغه المتسلمه]]&lt;=2,"تم تسليم فى الموعد","تسليم متاخر")</f>
        <v>تم تسليم فى الموعد</v>
      </c>
    </row>
    <row r="101" spans="1:25" ht="20.100000000000001" customHeight="1" x14ac:dyDescent="0.25">
      <c r="A101" s="35">
        <v>102</v>
      </c>
      <c r="B101" s="48">
        <v>240082226</v>
      </c>
      <c r="C101" s="21"/>
      <c r="D101" s="46" t="s">
        <v>48</v>
      </c>
      <c r="E101" s="57" t="s">
        <v>325</v>
      </c>
      <c r="F101" s="46" t="s">
        <v>205</v>
      </c>
      <c r="G101" s="21"/>
      <c r="H101" s="46" t="s">
        <v>29</v>
      </c>
      <c r="I101" s="46" t="s">
        <v>154</v>
      </c>
      <c r="J101" s="21" t="s">
        <v>190</v>
      </c>
      <c r="K101" s="21" t="s">
        <v>230</v>
      </c>
      <c r="L101" s="21"/>
      <c r="M101" s="76" t="s">
        <v>191</v>
      </c>
      <c r="N101" s="21" t="s">
        <v>231</v>
      </c>
      <c r="O101" s="21"/>
      <c r="P101" s="46">
        <v>15872</v>
      </c>
      <c r="Q101" s="23" t="s">
        <v>232</v>
      </c>
      <c r="R101" s="61">
        <v>45604</v>
      </c>
      <c r="S101" s="61">
        <v>45629</v>
      </c>
      <c r="T101" s="61">
        <v>45610</v>
      </c>
      <c r="U101" s="21" t="s">
        <v>184</v>
      </c>
      <c r="V101" s="46" t="s">
        <v>183</v>
      </c>
      <c r="W101" s="23">
        <f>sales[[#This Row],[ميعاد التسليم]]-sales[[#This Row],[ميعاد الطلب]]</f>
        <v>25</v>
      </c>
      <c r="X101" s="32">
        <f>sales[[#This Row],[تاريخ التسليم]]-sales[[#This Row],[ميعاد التسليم]]</f>
        <v>-19</v>
      </c>
      <c r="Y101" s="32" t="str">
        <f>IF(sales[[#This Row],[فرق البضاغه المتسلمه]]&lt;=2,"تم تسليم فى الموعد","تسليم متاخر")</f>
        <v>تم تسليم فى الموعد</v>
      </c>
    </row>
    <row r="102" spans="1:25" ht="20.100000000000001" customHeight="1" x14ac:dyDescent="0.25">
      <c r="A102" s="35">
        <v>103</v>
      </c>
      <c r="B102" s="21" t="s">
        <v>233</v>
      </c>
      <c r="C102" s="21"/>
      <c r="D102" s="46" t="s">
        <v>234</v>
      </c>
      <c r="E102" s="57" t="s">
        <v>324</v>
      </c>
      <c r="F102" s="46" t="s">
        <v>32</v>
      </c>
      <c r="G102" s="21"/>
      <c r="H102" s="46" t="s">
        <v>234</v>
      </c>
      <c r="I102" s="57" t="s">
        <v>139</v>
      </c>
      <c r="J102" s="21" t="s">
        <v>142</v>
      </c>
      <c r="K102" s="21" t="s">
        <v>165</v>
      </c>
      <c r="L102" s="21">
        <v>120</v>
      </c>
      <c r="M102" s="76" t="s">
        <v>155</v>
      </c>
      <c r="N102" s="21"/>
      <c r="O102" s="21"/>
      <c r="P102" s="46">
        <v>4520</v>
      </c>
      <c r="Q102" s="23" t="s">
        <v>78</v>
      </c>
      <c r="R102" s="61">
        <v>45606</v>
      </c>
      <c r="S102" s="61">
        <v>45618</v>
      </c>
      <c r="T102" s="61">
        <v>45617</v>
      </c>
      <c r="U102" s="21" t="s">
        <v>184</v>
      </c>
      <c r="V102" s="46" t="s">
        <v>183</v>
      </c>
      <c r="W102" s="23">
        <f>sales[[#This Row],[ميعاد التسليم]]-sales[[#This Row],[ميعاد الطلب]]</f>
        <v>12</v>
      </c>
      <c r="X102" s="32">
        <f>sales[[#This Row],[تاريخ التسليم]]-sales[[#This Row],[ميعاد التسليم]]</f>
        <v>-1</v>
      </c>
      <c r="Y102" s="32" t="str">
        <f>IF(sales[[#This Row],[فرق البضاغه المتسلمه]]&lt;=2,"تم تسليم فى الموعد","تسليم متاخر")</f>
        <v>تم تسليم فى الموعد</v>
      </c>
    </row>
    <row r="103" spans="1:25" ht="20.100000000000001" customHeight="1" x14ac:dyDescent="0.25">
      <c r="A103" s="35">
        <v>104</v>
      </c>
      <c r="B103" s="21" t="s">
        <v>236</v>
      </c>
      <c r="C103" s="21"/>
      <c r="D103" s="46" t="s">
        <v>76</v>
      </c>
      <c r="E103" s="57" t="s">
        <v>325</v>
      </c>
      <c r="F103" s="46" t="s">
        <v>185</v>
      </c>
      <c r="G103" s="21"/>
      <c r="H103" s="46" t="s">
        <v>51</v>
      </c>
      <c r="I103" s="57" t="s">
        <v>139</v>
      </c>
      <c r="J103" s="21" t="s">
        <v>153</v>
      </c>
      <c r="K103" s="21" t="s">
        <v>143</v>
      </c>
      <c r="L103" s="21">
        <v>90</v>
      </c>
      <c r="M103" s="76" t="s">
        <v>156</v>
      </c>
      <c r="N103" s="21"/>
      <c r="O103" s="21"/>
      <c r="P103" s="46">
        <v>5766</v>
      </c>
      <c r="Q103" s="23" t="s">
        <v>78</v>
      </c>
      <c r="R103" s="61">
        <v>45608</v>
      </c>
      <c r="S103" s="61">
        <v>45622</v>
      </c>
      <c r="T103" s="61">
        <v>45621</v>
      </c>
      <c r="U103" s="21" t="s">
        <v>184</v>
      </c>
      <c r="V103" s="46" t="s">
        <v>183</v>
      </c>
      <c r="W103" s="23">
        <f>sales[[#This Row],[ميعاد التسليم]]-sales[[#This Row],[ميعاد الطلب]]</f>
        <v>14</v>
      </c>
      <c r="X103" s="32">
        <f>sales[[#This Row],[تاريخ التسليم]]-sales[[#This Row],[ميعاد التسليم]]</f>
        <v>-1</v>
      </c>
      <c r="Y103" s="32" t="str">
        <f>IF(sales[[#This Row],[فرق البضاغه المتسلمه]]&lt;=2,"تم تسليم فى الموعد","تسليم متاخر")</f>
        <v>تم تسليم فى الموعد</v>
      </c>
    </row>
    <row r="104" spans="1:25" ht="20.100000000000001" customHeight="1" x14ac:dyDescent="0.25">
      <c r="A104" s="35">
        <v>105</v>
      </c>
      <c r="B104" s="16">
        <v>1752544</v>
      </c>
      <c r="C104" s="16">
        <v>1302011</v>
      </c>
      <c r="D104" s="46" t="s">
        <v>237</v>
      </c>
      <c r="E104" s="57" t="s">
        <v>324</v>
      </c>
      <c r="F104" s="58" t="s">
        <v>99</v>
      </c>
      <c r="G104" s="21"/>
      <c r="H104" s="57" t="s">
        <v>8</v>
      </c>
      <c r="I104" s="57" t="s">
        <v>139</v>
      </c>
      <c r="J104" s="21" t="s">
        <v>142</v>
      </c>
      <c r="K104" s="21" t="s">
        <v>165</v>
      </c>
      <c r="L104" s="21">
        <v>160</v>
      </c>
      <c r="M104" s="76" t="s">
        <v>161</v>
      </c>
      <c r="N104" s="21"/>
      <c r="O104" s="21"/>
      <c r="P104" s="46">
        <v>11395</v>
      </c>
      <c r="Q104" s="23" t="s">
        <v>16</v>
      </c>
      <c r="R104" s="61">
        <v>45608</v>
      </c>
      <c r="S104" s="61">
        <v>45620</v>
      </c>
      <c r="T104" s="61">
        <v>45623</v>
      </c>
      <c r="U104" s="21" t="s">
        <v>184</v>
      </c>
      <c r="V104" s="46" t="s">
        <v>183</v>
      </c>
      <c r="W104" s="23">
        <f>sales[[#This Row],[ميعاد التسليم]]-sales[[#This Row],[ميعاد الطلب]]</f>
        <v>12</v>
      </c>
      <c r="X104" s="32">
        <f>sales[[#This Row],[تاريخ التسليم]]-sales[[#This Row],[ميعاد التسليم]]</f>
        <v>3</v>
      </c>
      <c r="Y104" s="32" t="str">
        <f>IF(sales[[#This Row],[فرق البضاغه المتسلمه]]&lt;=2,"تم تسليم فى الموعد","تسليم متاخر")</f>
        <v>تسليم متاخر</v>
      </c>
    </row>
    <row r="105" spans="1:25" ht="20.100000000000001" customHeight="1" x14ac:dyDescent="0.25">
      <c r="A105" s="35">
        <v>106</v>
      </c>
      <c r="B105" s="16">
        <v>1755075</v>
      </c>
      <c r="C105" s="16">
        <v>1303159</v>
      </c>
      <c r="D105" s="46" t="s">
        <v>238</v>
      </c>
      <c r="E105" s="57" t="s">
        <v>324</v>
      </c>
      <c r="F105" s="46" t="s">
        <v>32</v>
      </c>
      <c r="G105" s="21"/>
      <c r="H105" s="57" t="s">
        <v>8</v>
      </c>
      <c r="I105" s="57" t="s">
        <v>139</v>
      </c>
      <c r="J105" s="21" t="s">
        <v>153</v>
      </c>
      <c r="K105" s="21" t="s">
        <v>239</v>
      </c>
      <c r="L105" s="21">
        <v>80</v>
      </c>
      <c r="M105" s="76" t="s">
        <v>155</v>
      </c>
      <c r="N105" s="21"/>
      <c r="O105" s="21"/>
      <c r="P105" s="46">
        <v>12919</v>
      </c>
      <c r="Q105" s="23" t="s">
        <v>16</v>
      </c>
      <c r="R105" s="61">
        <v>45610</v>
      </c>
      <c r="S105" s="61">
        <v>45626</v>
      </c>
      <c r="T105" s="61">
        <v>45623</v>
      </c>
      <c r="U105" s="21" t="s">
        <v>184</v>
      </c>
      <c r="V105" s="46" t="s">
        <v>183</v>
      </c>
      <c r="W105" s="23">
        <f>sales[[#This Row],[ميعاد التسليم]]-sales[[#This Row],[ميعاد الطلب]]</f>
        <v>16</v>
      </c>
      <c r="X105" s="32">
        <f>sales[[#This Row],[تاريخ التسليم]]-sales[[#This Row],[ميعاد التسليم]]</f>
        <v>-3</v>
      </c>
      <c r="Y105" s="32" t="str">
        <f>IF(sales[[#This Row],[فرق البضاغه المتسلمه]]&lt;=2,"تم تسليم فى الموعد","تسليم متاخر")</f>
        <v>تم تسليم فى الموعد</v>
      </c>
    </row>
    <row r="106" spans="1:25" ht="20.100000000000001" customHeight="1" x14ac:dyDescent="0.25">
      <c r="A106" s="35">
        <v>107</v>
      </c>
      <c r="B106" s="21" t="s">
        <v>240</v>
      </c>
      <c r="C106" s="21"/>
      <c r="D106" s="46" t="s">
        <v>76</v>
      </c>
      <c r="E106" s="57" t="s">
        <v>325</v>
      </c>
      <c r="F106" s="46" t="s">
        <v>185</v>
      </c>
      <c r="G106" s="21"/>
      <c r="H106" s="46" t="s">
        <v>51</v>
      </c>
      <c r="I106" s="57" t="s">
        <v>139</v>
      </c>
      <c r="J106" s="21" t="s">
        <v>153</v>
      </c>
      <c r="K106" s="21" t="s">
        <v>141</v>
      </c>
      <c r="L106" s="21">
        <v>120</v>
      </c>
      <c r="M106" s="76" t="s">
        <v>160</v>
      </c>
      <c r="N106" s="21"/>
      <c r="O106" s="21"/>
      <c r="P106" s="46">
        <v>6376</v>
      </c>
      <c r="Q106" s="23" t="s">
        <v>78</v>
      </c>
      <c r="R106" s="61">
        <v>45610</v>
      </c>
      <c r="S106" s="61">
        <v>45623</v>
      </c>
      <c r="T106" s="61">
        <v>45621</v>
      </c>
      <c r="U106" s="21" t="s">
        <v>184</v>
      </c>
      <c r="V106" s="46" t="s">
        <v>183</v>
      </c>
      <c r="W106" s="23">
        <f>sales[[#This Row],[ميعاد التسليم]]-sales[[#This Row],[ميعاد الطلب]]</f>
        <v>13</v>
      </c>
      <c r="X106" s="32">
        <f>sales[[#This Row],[تاريخ التسليم]]-sales[[#This Row],[ميعاد التسليم]]</f>
        <v>-2</v>
      </c>
      <c r="Y106" s="32" t="str">
        <f>IF(sales[[#This Row],[فرق البضاغه المتسلمه]]&lt;=2,"تم تسليم فى الموعد","تسليم متاخر")</f>
        <v>تم تسليم فى الموعد</v>
      </c>
    </row>
    <row r="107" spans="1:25" ht="20.100000000000001" customHeight="1" x14ac:dyDescent="0.25">
      <c r="A107" s="35">
        <v>108</v>
      </c>
      <c r="B107" s="21" t="s">
        <v>241</v>
      </c>
      <c r="C107" s="21"/>
      <c r="D107" s="46" t="s">
        <v>76</v>
      </c>
      <c r="E107" s="57" t="s">
        <v>325</v>
      </c>
      <c r="F107" s="46" t="s">
        <v>242</v>
      </c>
      <c r="G107" s="21"/>
      <c r="H107" s="46" t="s">
        <v>51</v>
      </c>
      <c r="I107" s="57" t="s">
        <v>139</v>
      </c>
      <c r="J107" s="21" t="s">
        <v>243</v>
      </c>
      <c r="K107" s="21" t="s">
        <v>141</v>
      </c>
      <c r="L107" s="21">
        <v>90</v>
      </c>
      <c r="M107" s="76" t="s">
        <v>156</v>
      </c>
      <c r="N107" s="21"/>
      <c r="O107" s="21"/>
      <c r="P107" s="46">
        <v>5294</v>
      </c>
      <c r="Q107" s="23" t="s">
        <v>78</v>
      </c>
      <c r="R107" s="61">
        <v>45610</v>
      </c>
      <c r="S107" s="61">
        <v>45623</v>
      </c>
      <c r="T107" s="61">
        <v>45621</v>
      </c>
      <c r="U107" s="21" t="s">
        <v>184</v>
      </c>
      <c r="V107" s="46" t="s">
        <v>183</v>
      </c>
      <c r="W107" s="23">
        <f>sales[[#This Row],[ميعاد التسليم]]-sales[[#This Row],[ميعاد الطلب]]</f>
        <v>13</v>
      </c>
      <c r="X107" s="32">
        <f>sales[[#This Row],[تاريخ التسليم]]-sales[[#This Row],[ميعاد التسليم]]</f>
        <v>-2</v>
      </c>
      <c r="Y107" s="32" t="str">
        <f>IF(sales[[#This Row],[فرق البضاغه المتسلمه]]&lt;=2,"تم تسليم فى الموعد","تسليم متاخر")</f>
        <v>تم تسليم فى الموعد</v>
      </c>
    </row>
    <row r="108" spans="1:25" ht="20.100000000000001" customHeight="1" x14ac:dyDescent="0.25">
      <c r="A108" s="35">
        <v>109</v>
      </c>
      <c r="B108" s="49">
        <v>265453625</v>
      </c>
      <c r="C108" s="21"/>
      <c r="D108" s="46" t="s">
        <v>244</v>
      </c>
      <c r="E108" s="57" t="s">
        <v>324</v>
      </c>
      <c r="F108" s="46" t="s">
        <v>36</v>
      </c>
      <c r="G108" s="49">
        <v>1277038843</v>
      </c>
      <c r="H108" s="46" t="s">
        <v>245</v>
      </c>
      <c r="I108" s="57" t="s">
        <v>139</v>
      </c>
      <c r="J108" s="21" t="s">
        <v>243</v>
      </c>
      <c r="K108" s="21" t="s">
        <v>246</v>
      </c>
      <c r="L108" s="21">
        <v>80</v>
      </c>
      <c r="M108" s="76" t="s">
        <v>155</v>
      </c>
      <c r="N108" s="21"/>
      <c r="O108" s="21"/>
      <c r="P108" s="46">
        <v>7396</v>
      </c>
      <c r="Q108" s="23" t="s">
        <v>16</v>
      </c>
      <c r="R108" s="61">
        <v>45613</v>
      </c>
      <c r="S108" s="61">
        <v>45624</v>
      </c>
      <c r="T108" s="61">
        <v>45622</v>
      </c>
      <c r="U108" s="21" t="s">
        <v>184</v>
      </c>
      <c r="V108" s="46" t="s">
        <v>183</v>
      </c>
      <c r="W108" s="23">
        <f>sales[[#This Row],[ميعاد التسليم]]-sales[[#This Row],[ميعاد الطلب]]</f>
        <v>11</v>
      </c>
      <c r="X108" s="32">
        <f>sales[[#This Row],[تاريخ التسليم]]-sales[[#This Row],[ميعاد التسليم]]</f>
        <v>-2</v>
      </c>
      <c r="Y108" s="32" t="str">
        <f>IF(sales[[#This Row],[فرق البضاغه المتسلمه]]&lt;=2,"تم تسليم فى الموعد","تسليم متاخر")</f>
        <v>تم تسليم فى الموعد</v>
      </c>
    </row>
    <row r="109" spans="1:25" ht="20.100000000000001" customHeight="1" x14ac:dyDescent="0.25">
      <c r="A109" s="35">
        <v>110</v>
      </c>
      <c r="B109" s="16">
        <v>1762617</v>
      </c>
      <c r="C109" s="16">
        <v>1306879</v>
      </c>
      <c r="D109" s="46" t="s">
        <v>121</v>
      </c>
      <c r="E109" s="57" t="s">
        <v>324</v>
      </c>
      <c r="F109" s="46" t="s">
        <v>36</v>
      </c>
      <c r="G109" s="21"/>
      <c r="H109" s="57" t="s">
        <v>8</v>
      </c>
      <c r="I109" s="57" t="s">
        <v>139</v>
      </c>
      <c r="J109" s="21" t="s">
        <v>153</v>
      </c>
      <c r="K109" s="21" t="s">
        <v>143</v>
      </c>
      <c r="L109" s="21">
        <v>90</v>
      </c>
      <c r="M109" s="76" t="s">
        <v>156</v>
      </c>
      <c r="N109" s="21"/>
      <c r="O109" s="21"/>
      <c r="P109" s="46">
        <v>13439</v>
      </c>
      <c r="Q109" s="23">
        <v>13575</v>
      </c>
      <c r="R109" s="61">
        <v>45616</v>
      </c>
      <c r="S109" s="61">
        <v>45631</v>
      </c>
      <c r="T109" s="61">
        <v>45622</v>
      </c>
      <c r="U109" s="21" t="s">
        <v>184</v>
      </c>
      <c r="V109" s="46" t="s">
        <v>183</v>
      </c>
      <c r="W109" s="23">
        <f>sales[[#This Row],[ميعاد التسليم]]-sales[[#This Row],[ميعاد الطلب]]</f>
        <v>15</v>
      </c>
      <c r="X109" s="32">
        <f>sales[[#This Row],[تاريخ التسليم]]-sales[[#This Row],[ميعاد التسليم]]</f>
        <v>-9</v>
      </c>
      <c r="Y109" s="32" t="str">
        <f>IF(sales[[#This Row],[فرق البضاغه المتسلمه]]&lt;=2,"تم تسليم فى الموعد","تسليم متاخر")</f>
        <v>تم تسليم فى الموعد</v>
      </c>
    </row>
    <row r="110" spans="1:25" ht="20.100000000000001" customHeight="1" x14ac:dyDescent="0.25">
      <c r="A110" s="53">
        <v>111</v>
      </c>
      <c r="B110" s="19"/>
      <c r="C110" s="19"/>
      <c r="D110" s="46" t="s">
        <v>38</v>
      </c>
      <c r="E110" s="57" t="s">
        <v>325</v>
      </c>
      <c r="F110" s="46" t="s">
        <v>39</v>
      </c>
      <c r="G110" s="19"/>
      <c r="H110" s="46" t="s">
        <v>40</v>
      </c>
      <c r="I110" s="57" t="s">
        <v>139</v>
      </c>
      <c r="J110" s="19" t="s">
        <v>247</v>
      </c>
      <c r="K110" s="19" t="s">
        <v>248</v>
      </c>
      <c r="L110" s="19">
        <v>160</v>
      </c>
      <c r="M110" s="76" t="s">
        <v>156</v>
      </c>
      <c r="N110" s="19"/>
      <c r="O110" s="19"/>
      <c r="P110" s="46">
        <v>5100</v>
      </c>
      <c r="Q110" s="50" t="s">
        <v>78</v>
      </c>
      <c r="R110" s="61">
        <v>45610</v>
      </c>
      <c r="S110" s="61">
        <v>45634</v>
      </c>
      <c r="T110" s="61"/>
      <c r="U110" s="19"/>
      <c r="V110" s="46" t="s">
        <v>183</v>
      </c>
      <c r="W110" s="23">
        <f>sales[[#This Row],[ميعاد التسليم]]-sales[[#This Row],[ميعاد الطلب]]</f>
        <v>24</v>
      </c>
      <c r="X110" s="32">
        <f>sales[[#This Row],[تاريخ التسليم]]-sales[[#This Row],[ميعاد التسليم]]</f>
        <v>-45634</v>
      </c>
      <c r="Y110" s="32" t="str">
        <f>IF(sales[[#This Row],[فرق البضاغه المتسلمه]]&lt;=2,"تم تسليم فى الموعد","تسليم متاخر")</f>
        <v>تم تسليم فى الموعد</v>
      </c>
    </row>
    <row r="111" spans="1:25" ht="20.100000000000001" customHeight="1" x14ac:dyDescent="0.25">
      <c r="A111" s="35">
        <v>112</v>
      </c>
      <c r="B111" s="21"/>
      <c r="C111" s="21"/>
      <c r="D111" s="46" t="s">
        <v>249</v>
      </c>
      <c r="E111" s="57" t="s">
        <v>324</v>
      </c>
      <c r="F111" s="46" t="s">
        <v>45</v>
      </c>
      <c r="G111" s="21"/>
      <c r="H111" s="46" t="s">
        <v>250</v>
      </c>
      <c r="I111" s="57" t="s">
        <v>139</v>
      </c>
      <c r="J111" s="21" t="s">
        <v>142</v>
      </c>
      <c r="K111" s="21" t="s">
        <v>251</v>
      </c>
      <c r="L111" s="21">
        <v>160</v>
      </c>
      <c r="M111" s="76" t="s">
        <v>164</v>
      </c>
      <c r="N111" s="21" t="s">
        <v>155</v>
      </c>
      <c r="O111" s="21"/>
      <c r="P111" s="46">
        <v>6000</v>
      </c>
      <c r="Q111" s="23">
        <v>5800</v>
      </c>
      <c r="R111" s="61">
        <v>45618</v>
      </c>
      <c r="S111" s="61">
        <v>45628</v>
      </c>
      <c r="T111" s="61">
        <v>45623</v>
      </c>
      <c r="U111" s="21" t="s">
        <v>184</v>
      </c>
      <c r="V111" s="46" t="s">
        <v>183</v>
      </c>
      <c r="W111" s="23">
        <f>sales[[#This Row],[ميعاد التسليم]]-sales[[#This Row],[ميعاد الطلب]]</f>
        <v>10</v>
      </c>
      <c r="X111" s="32">
        <f>sales[[#This Row],[تاريخ التسليم]]-sales[[#This Row],[ميعاد التسليم]]</f>
        <v>-5</v>
      </c>
      <c r="Y111" s="32" t="str">
        <f>IF(sales[[#This Row],[فرق البضاغه المتسلمه]]&lt;=2,"تم تسليم فى الموعد","تسليم متاخر")</f>
        <v>تم تسليم فى الموعد</v>
      </c>
    </row>
    <row r="112" spans="1:25" ht="20.100000000000001" customHeight="1" x14ac:dyDescent="0.25">
      <c r="A112" s="35">
        <v>113</v>
      </c>
      <c r="B112" s="16">
        <v>1765451</v>
      </c>
      <c r="C112" s="16">
        <v>1308241</v>
      </c>
      <c r="D112" s="46" t="s">
        <v>252</v>
      </c>
      <c r="E112" s="57" t="s">
        <v>324</v>
      </c>
      <c r="F112" s="46" t="s">
        <v>253</v>
      </c>
      <c r="G112" s="21"/>
      <c r="H112" s="57" t="s">
        <v>8</v>
      </c>
      <c r="I112" s="57" t="s">
        <v>139</v>
      </c>
      <c r="J112" s="21" t="s">
        <v>247</v>
      </c>
      <c r="K112" s="21" t="s">
        <v>254</v>
      </c>
      <c r="L112" s="21">
        <v>120</v>
      </c>
      <c r="M112" s="76" t="s">
        <v>160</v>
      </c>
      <c r="N112" s="21"/>
      <c r="O112" s="21"/>
      <c r="P112" s="46">
        <v>10885</v>
      </c>
      <c r="Q112" s="23">
        <v>7965</v>
      </c>
      <c r="R112" s="61">
        <v>45620</v>
      </c>
      <c r="S112" s="61">
        <v>45631</v>
      </c>
      <c r="T112" s="61">
        <v>45636</v>
      </c>
      <c r="U112" s="21" t="s">
        <v>184</v>
      </c>
      <c r="V112" s="46" t="s">
        <v>183</v>
      </c>
      <c r="W112" s="23">
        <f>sales[[#This Row],[ميعاد التسليم]]-sales[[#This Row],[ميعاد الطلب]]</f>
        <v>11</v>
      </c>
      <c r="X112" s="32">
        <f>sales[[#This Row],[تاريخ التسليم]]-sales[[#This Row],[ميعاد التسليم]]</f>
        <v>5</v>
      </c>
      <c r="Y112" s="32" t="str">
        <f>IF(sales[[#This Row],[فرق البضاغه المتسلمه]]&lt;=2,"تم تسليم فى الموعد","تسليم متاخر")</f>
        <v>تسليم متاخر</v>
      </c>
    </row>
    <row r="113" spans="1:25" ht="20.100000000000001" customHeight="1" x14ac:dyDescent="0.25">
      <c r="A113" s="35">
        <v>114</v>
      </c>
      <c r="B113" s="21"/>
      <c r="C113" s="21"/>
      <c r="D113" s="46" t="s">
        <v>38</v>
      </c>
      <c r="E113" s="57" t="s">
        <v>325</v>
      </c>
      <c r="F113" s="46" t="s">
        <v>39</v>
      </c>
      <c r="G113" s="21"/>
      <c r="H113" s="46" t="s">
        <v>40</v>
      </c>
      <c r="I113" s="46" t="s">
        <v>154</v>
      </c>
      <c r="J113" s="21" t="s">
        <v>255</v>
      </c>
      <c r="K113" s="21" t="s">
        <v>255</v>
      </c>
      <c r="L113" s="21"/>
      <c r="M113" s="76" t="s">
        <v>156</v>
      </c>
      <c r="N113" s="21"/>
      <c r="O113" s="21"/>
      <c r="P113" s="46">
        <v>6000</v>
      </c>
      <c r="Q113" s="23">
        <v>6000</v>
      </c>
      <c r="R113" s="61">
        <v>45615</v>
      </c>
      <c r="S113" s="61">
        <v>45631</v>
      </c>
      <c r="T113" s="61">
        <v>45616</v>
      </c>
      <c r="U113" s="21" t="s">
        <v>256</v>
      </c>
      <c r="V113" s="46" t="s">
        <v>183</v>
      </c>
      <c r="W113" s="23">
        <f>sales[[#This Row],[ميعاد التسليم]]-sales[[#This Row],[ميعاد الطلب]]</f>
        <v>16</v>
      </c>
      <c r="X113" s="32">
        <f>sales[[#This Row],[تاريخ التسليم]]-sales[[#This Row],[ميعاد التسليم]]</f>
        <v>-15</v>
      </c>
      <c r="Y113" s="32" t="str">
        <f>IF(sales[[#This Row],[فرق البضاغه المتسلمه]]&lt;=2,"تم تسليم فى الموعد","تسليم متاخر")</f>
        <v>تم تسليم فى الموعد</v>
      </c>
    </row>
    <row r="114" spans="1:25" ht="20.100000000000001" customHeight="1" x14ac:dyDescent="0.25">
      <c r="A114" s="35">
        <v>115</v>
      </c>
      <c r="B114" s="16">
        <v>1782674</v>
      </c>
      <c r="C114" s="21">
        <v>1315860</v>
      </c>
      <c r="D114" s="46" t="s">
        <v>257</v>
      </c>
      <c r="E114" s="57" t="s">
        <v>324</v>
      </c>
      <c r="F114" s="46" t="s">
        <v>258</v>
      </c>
      <c r="G114" s="21"/>
      <c r="H114" s="57" t="s">
        <v>8</v>
      </c>
      <c r="I114" s="46" t="s">
        <v>146</v>
      </c>
      <c r="J114" s="21"/>
      <c r="K114" s="21" t="s">
        <v>259</v>
      </c>
      <c r="L114" s="21"/>
      <c r="M114" s="76" t="s">
        <v>191</v>
      </c>
      <c r="N114" s="21"/>
      <c r="O114" s="21"/>
      <c r="P114" s="46">
        <v>8449</v>
      </c>
      <c r="Q114" s="23" t="s">
        <v>16</v>
      </c>
      <c r="R114" s="61">
        <v>45623</v>
      </c>
      <c r="S114" s="61">
        <v>45636</v>
      </c>
      <c r="T114" s="61">
        <v>45649</v>
      </c>
      <c r="U114" s="21" t="s">
        <v>26</v>
      </c>
      <c r="V114" s="46" t="s">
        <v>183</v>
      </c>
      <c r="W114" s="23">
        <f>sales[[#This Row],[ميعاد التسليم]]-sales[[#This Row],[ميعاد الطلب]]</f>
        <v>13</v>
      </c>
      <c r="X114" s="32">
        <f>sales[[#This Row],[تاريخ التسليم]]-sales[[#This Row],[ميعاد التسليم]]</f>
        <v>13</v>
      </c>
      <c r="Y114" s="32" t="str">
        <f>IF(sales[[#This Row],[فرق البضاغه المتسلمه]]&lt;=2,"تم تسليم فى الموعد","تسليم متاخر")</f>
        <v>تسليم متاخر</v>
      </c>
    </row>
    <row r="115" spans="1:25" ht="20.100000000000001" customHeight="1" x14ac:dyDescent="0.25">
      <c r="A115" s="35">
        <v>116</v>
      </c>
      <c r="B115" s="21">
        <v>1781530</v>
      </c>
      <c r="C115" s="16">
        <v>1315450</v>
      </c>
      <c r="D115" s="46" t="s">
        <v>260</v>
      </c>
      <c r="E115" s="57" t="s">
        <v>324</v>
      </c>
      <c r="F115" s="46" t="s">
        <v>54</v>
      </c>
      <c r="G115" s="21"/>
      <c r="H115" s="57" t="s">
        <v>8</v>
      </c>
      <c r="I115" s="46" t="s">
        <v>146</v>
      </c>
      <c r="J115" s="21" t="s">
        <v>261</v>
      </c>
      <c r="K115" s="21" t="s">
        <v>262</v>
      </c>
      <c r="L115" s="21"/>
      <c r="M115" s="76" t="s">
        <v>155</v>
      </c>
      <c r="N115" s="21" t="s">
        <v>263</v>
      </c>
      <c r="O115" s="21"/>
      <c r="P115" s="46">
        <v>10249</v>
      </c>
      <c r="Q115" s="23">
        <v>6211</v>
      </c>
      <c r="R115" s="61">
        <v>45623</v>
      </c>
      <c r="S115" s="61">
        <v>45636</v>
      </c>
      <c r="T115" s="61">
        <v>45645</v>
      </c>
      <c r="U115" s="21" t="s">
        <v>184</v>
      </c>
      <c r="V115" s="46" t="s">
        <v>183</v>
      </c>
      <c r="W115" s="23">
        <f>sales[[#This Row],[ميعاد التسليم]]-sales[[#This Row],[ميعاد الطلب]]</f>
        <v>13</v>
      </c>
      <c r="X115" s="32">
        <f>sales[[#This Row],[تاريخ التسليم]]-sales[[#This Row],[ميعاد التسليم]]</f>
        <v>9</v>
      </c>
      <c r="Y115" s="32" t="str">
        <f>IF(sales[[#This Row],[فرق البضاغه المتسلمه]]&lt;=2,"تم تسليم فى الموعد","تسليم متاخر")</f>
        <v>تسليم متاخر</v>
      </c>
    </row>
    <row r="116" spans="1:25" ht="20.100000000000001" customHeight="1" x14ac:dyDescent="0.25">
      <c r="A116" s="29">
        <v>117</v>
      </c>
      <c r="B116" s="26">
        <v>1795447</v>
      </c>
      <c r="C116" s="26">
        <v>1321584</v>
      </c>
      <c r="D116" s="46" t="s">
        <v>264</v>
      </c>
      <c r="E116" s="57" t="s">
        <v>324</v>
      </c>
      <c r="F116" s="46" t="s">
        <v>265</v>
      </c>
      <c r="G116" s="26"/>
      <c r="H116" s="57" t="s">
        <v>8</v>
      </c>
      <c r="I116" s="57" t="s">
        <v>139</v>
      </c>
      <c r="J116" s="26" t="s">
        <v>153</v>
      </c>
      <c r="K116" s="26" t="s">
        <v>144</v>
      </c>
      <c r="L116" s="26">
        <v>100</v>
      </c>
      <c r="M116" s="76" t="s">
        <v>156</v>
      </c>
      <c r="N116" s="26"/>
      <c r="O116" s="26"/>
      <c r="P116" s="46">
        <v>14905</v>
      </c>
      <c r="Q116" s="27" t="s">
        <v>16</v>
      </c>
      <c r="R116" s="61">
        <v>45625</v>
      </c>
      <c r="S116" s="61">
        <v>45641</v>
      </c>
      <c r="T116" s="61"/>
      <c r="U116" s="26" t="s">
        <v>283</v>
      </c>
      <c r="V116" s="46" t="s">
        <v>213</v>
      </c>
      <c r="W116" s="23">
        <f>sales[[#This Row],[ميعاد التسليم]]-sales[[#This Row],[ميعاد الطلب]]</f>
        <v>16</v>
      </c>
      <c r="X116" s="32">
        <f>sales[[#This Row],[تاريخ التسليم]]-sales[[#This Row],[ميعاد التسليم]]</f>
        <v>-45641</v>
      </c>
      <c r="Y116" s="32" t="str">
        <f>IF(sales[[#This Row],[فرق البضاغه المتسلمه]]&lt;=2,"تم تسليم فى الموعد","تسليم متاخر")</f>
        <v>تم تسليم فى الموعد</v>
      </c>
    </row>
    <row r="117" spans="1:25" ht="20.100000000000001" customHeight="1" x14ac:dyDescent="0.25">
      <c r="A117" s="29">
        <v>118</v>
      </c>
      <c r="B117" s="17">
        <v>1808440</v>
      </c>
      <c r="C117" s="17">
        <v>1327172</v>
      </c>
      <c r="D117" s="46" t="s">
        <v>266</v>
      </c>
      <c r="E117" s="57" t="s">
        <v>324</v>
      </c>
      <c r="F117" s="46" t="s">
        <v>62</v>
      </c>
      <c r="G117" s="26"/>
      <c r="H117" s="57" t="s">
        <v>8</v>
      </c>
      <c r="I117" s="46" t="s">
        <v>146</v>
      </c>
      <c r="J117" s="26" t="s">
        <v>261</v>
      </c>
      <c r="K117" s="26" t="s">
        <v>262</v>
      </c>
      <c r="L117" s="26"/>
      <c r="M117" s="76" t="s">
        <v>191</v>
      </c>
      <c r="N117" s="26" t="s">
        <v>267</v>
      </c>
      <c r="O117" s="26"/>
      <c r="P117" s="46">
        <v>10249</v>
      </c>
      <c r="Q117" s="27" t="s">
        <v>16</v>
      </c>
      <c r="R117" s="61">
        <v>45626</v>
      </c>
      <c r="S117" s="61">
        <v>45638</v>
      </c>
      <c r="T117" s="61"/>
      <c r="U117" s="26"/>
      <c r="V117" s="46" t="s">
        <v>213</v>
      </c>
      <c r="W117" s="23">
        <f>sales[[#This Row],[ميعاد التسليم]]-sales[[#This Row],[ميعاد الطلب]]</f>
        <v>12</v>
      </c>
      <c r="X117" s="32">
        <f>sales[[#This Row],[تاريخ التسليم]]-sales[[#This Row],[ميعاد التسليم]]</f>
        <v>-45638</v>
      </c>
      <c r="Y117" s="32" t="str">
        <f>IF(sales[[#This Row],[فرق البضاغه المتسلمه]]&lt;=2,"تم تسليم فى الموعد","تسليم متاخر")</f>
        <v>تم تسليم فى الموعد</v>
      </c>
    </row>
    <row r="118" spans="1:25" ht="20.100000000000001" customHeight="1" x14ac:dyDescent="0.25">
      <c r="A118" s="29">
        <v>119</v>
      </c>
      <c r="B118" s="26">
        <v>1808441</v>
      </c>
      <c r="C118" s="17">
        <v>1327172</v>
      </c>
      <c r="D118" s="46" t="s">
        <v>268</v>
      </c>
      <c r="E118" s="57" t="s">
        <v>324</v>
      </c>
      <c r="F118" s="46" t="s">
        <v>62</v>
      </c>
      <c r="G118" s="26"/>
      <c r="H118" s="57" t="s">
        <v>8</v>
      </c>
      <c r="I118" s="46" t="s">
        <v>146</v>
      </c>
      <c r="J118" s="26" t="s">
        <v>177</v>
      </c>
      <c r="K118" s="26"/>
      <c r="L118" s="26"/>
      <c r="M118" s="76" t="s">
        <v>156</v>
      </c>
      <c r="N118" s="26" t="s">
        <v>269</v>
      </c>
      <c r="O118" s="26"/>
      <c r="P118" s="46">
        <v>9029</v>
      </c>
      <c r="Q118" s="27" t="s">
        <v>16</v>
      </c>
      <c r="R118" s="61">
        <v>45626</v>
      </c>
      <c r="S118" s="61">
        <v>45638</v>
      </c>
      <c r="T118" s="61"/>
      <c r="U118" s="26"/>
      <c r="V118" s="46" t="s">
        <v>213</v>
      </c>
      <c r="W118" s="23">
        <f>sales[[#This Row],[ميعاد التسليم]]-sales[[#This Row],[ميعاد الطلب]]</f>
        <v>12</v>
      </c>
      <c r="X118" s="32">
        <f>sales[[#This Row],[تاريخ التسليم]]-sales[[#This Row],[ميعاد التسليم]]</f>
        <v>-45638</v>
      </c>
      <c r="Y118" s="32" t="str">
        <f>IF(sales[[#This Row],[فرق البضاغه المتسلمه]]&lt;=2,"تم تسليم فى الموعد","تسليم متاخر")</f>
        <v>تم تسليم فى الموعد</v>
      </c>
    </row>
    <row r="119" spans="1:25" ht="20.100000000000001" customHeight="1" x14ac:dyDescent="0.25">
      <c r="A119" s="53">
        <v>120</v>
      </c>
      <c r="B119" s="18">
        <v>1805052</v>
      </c>
      <c r="C119" s="18">
        <v>1325637</v>
      </c>
      <c r="D119" s="46" t="s">
        <v>270</v>
      </c>
      <c r="E119" s="57" t="s">
        <v>324</v>
      </c>
      <c r="F119" s="46" t="s">
        <v>134</v>
      </c>
      <c r="G119" s="19"/>
      <c r="H119" s="57" t="s">
        <v>8</v>
      </c>
      <c r="I119" s="46" t="s">
        <v>146</v>
      </c>
      <c r="J119" s="19" t="s">
        <v>271</v>
      </c>
      <c r="K119" s="19"/>
      <c r="L119" s="19"/>
      <c r="M119" s="76" t="s">
        <v>191</v>
      </c>
      <c r="N119" s="19" t="s">
        <v>272</v>
      </c>
      <c r="O119" s="19"/>
      <c r="P119" s="46">
        <v>9029</v>
      </c>
      <c r="Q119" s="50" t="s">
        <v>16</v>
      </c>
      <c r="R119" s="61">
        <v>45626</v>
      </c>
      <c r="S119" s="61">
        <v>45638</v>
      </c>
      <c r="T119" s="61"/>
      <c r="U119" s="19"/>
      <c r="V119" s="58" t="s">
        <v>183</v>
      </c>
      <c r="W119" s="23">
        <f>sales[[#This Row],[ميعاد التسليم]]-sales[[#This Row],[ميعاد الطلب]]</f>
        <v>12</v>
      </c>
      <c r="X119" s="32">
        <f>sales[[#This Row],[تاريخ التسليم]]-sales[[#This Row],[ميعاد التسليم]]</f>
        <v>-45638</v>
      </c>
      <c r="Y119" s="32" t="str">
        <f>IF(sales[[#This Row],[فرق البضاغه المتسلمه]]&lt;=2,"تم تسليم فى الموعد","تسليم متاخر")</f>
        <v>تم تسليم فى الموعد</v>
      </c>
    </row>
    <row r="120" spans="1:25" ht="20.100000000000001" customHeight="1" x14ac:dyDescent="0.25">
      <c r="A120" s="29">
        <v>121</v>
      </c>
      <c r="B120" s="17">
        <v>1813823</v>
      </c>
      <c r="C120" s="17">
        <v>1329646</v>
      </c>
      <c r="D120" s="46" t="s">
        <v>273</v>
      </c>
      <c r="E120" s="57" t="s">
        <v>324</v>
      </c>
      <c r="F120" s="46" t="s">
        <v>274</v>
      </c>
      <c r="G120" s="26"/>
      <c r="H120" s="57" t="s">
        <v>8</v>
      </c>
      <c r="I120" s="57" t="s">
        <v>139</v>
      </c>
      <c r="J120" s="26" t="s">
        <v>243</v>
      </c>
      <c r="K120" s="26" t="s">
        <v>141</v>
      </c>
      <c r="L120" s="51">
        <v>80</v>
      </c>
      <c r="M120" s="76" t="s">
        <v>155</v>
      </c>
      <c r="N120" s="26"/>
      <c r="O120" s="26"/>
      <c r="P120" s="46">
        <v>12099</v>
      </c>
      <c r="Q120" s="27" t="s">
        <v>16</v>
      </c>
      <c r="R120" s="61">
        <v>45628</v>
      </c>
      <c r="S120" s="61">
        <v>45643</v>
      </c>
      <c r="T120" s="61"/>
      <c r="U120" s="26"/>
      <c r="V120" s="46" t="s">
        <v>213</v>
      </c>
      <c r="W120" s="23">
        <f>sales[[#This Row],[ميعاد التسليم]]-sales[[#This Row],[ميعاد الطلب]]</f>
        <v>15</v>
      </c>
      <c r="X120" s="32">
        <f>sales[[#This Row],[تاريخ التسليم]]-sales[[#This Row],[ميعاد التسليم]]</f>
        <v>-45643</v>
      </c>
      <c r="Y120" s="32" t="str">
        <f>IF(sales[[#This Row],[فرق البضاغه المتسلمه]]&lt;=2,"تم تسليم فى الموعد","تسليم متاخر")</f>
        <v>تم تسليم فى الموعد</v>
      </c>
    </row>
    <row r="121" spans="1:25" ht="20.100000000000001" customHeight="1" x14ac:dyDescent="0.25">
      <c r="A121" s="35">
        <v>122</v>
      </c>
      <c r="B121" s="21" t="s">
        <v>275</v>
      </c>
      <c r="C121" s="21"/>
      <c r="D121" s="46" t="s">
        <v>76</v>
      </c>
      <c r="E121" s="57" t="s">
        <v>325</v>
      </c>
      <c r="F121" s="46" t="s">
        <v>185</v>
      </c>
      <c r="G121" s="21"/>
      <c r="H121" s="46" t="s">
        <v>51</v>
      </c>
      <c r="I121" s="57" t="s">
        <v>139</v>
      </c>
      <c r="J121" s="21" t="s">
        <v>243</v>
      </c>
      <c r="K121" s="21" t="s">
        <v>246</v>
      </c>
      <c r="L121" s="45">
        <v>90</v>
      </c>
      <c r="M121" s="76" t="s">
        <v>158</v>
      </c>
      <c r="N121" s="21"/>
      <c r="O121" s="21"/>
      <c r="P121" s="46">
        <v>5217</v>
      </c>
      <c r="Q121" s="23" t="s">
        <v>78</v>
      </c>
      <c r="R121" s="61">
        <v>45627</v>
      </c>
      <c r="S121" s="61">
        <v>45640</v>
      </c>
      <c r="T121" s="61">
        <v>45636</v>
      </c>
      <c r="U121" s="21" t="s">
        <v>184</v>
      </c>
      <c r="V121" s="46" t="s">
        <v>183</v>
      </c>
      <c r="W121" s="23">
        <f>sales[[#This Row],[ميعاد التسليم]]-sales[[#This Row],[ميعاد الطلب]]</f>
        <v>13</v>
      </c>
      <c r="X121" s="32">
        <f>sales[[#This Row],[تاريخ التسليم]]-sales[[#This Row],[ميعاد التسليم]]</f>
        <v>-4</v>
      </c>
      <c r="Y121" s="32" t="str">
        <f>IF(sales[[#This Row],[فرق البضاغه المتسلمه]]&lt;=2,"تم تسليم فى الموعد","تسليم متاخر")</f>
        <v>تم تسليم فى الموعد</v>
      </c>
    </row>
    <row r="122" spans="1:25" ht="20.100000000000001" customHeight="1" x14ac:dyDescent="0.25">
      <c r="A122" s="35">
        <v>123</v>
      </c>
      <c r="B122" s="16">
        <v>1810950</v>
      </c>
      <c r="C122" s="16">
        <v>1328141</v>
      </c>
      <c r="D122" s="46" t="s">
        <v>276</v>
      </c>
      <c r="E122" s="57" t="s">
        <v>324</v>
      </c>
      <c r="F122" s="46" t="s">
        <v>125</v>
      </c>
      <c r="G122" s="21"/>
      <c r="H122" s="57" t="s">
        <v>8</v>
      </c>
      <c r="I122" s="57" t="s">
        <v>139</v>
      </c>
      <c r="J122" s="21" t="s">
        <v>140</v>
      </c>
      <c r="K122" s="21"/>
      <c r="L122" s="21"/>
      <c r="M122" s="76" t="s">
        <v>156</v>
      </c>
      <c r="N122" s="21" t="s">
        <v>156</v>
      </c>
      <c r="O122" s="21"/>
      <c r="P122" s="46">
        <v>10249</v>
      </c>
      <c r="Q122" s="23">
        <v>6211</v>
      </c>
      <c r="R122" s="61">
        <v>45630</v>
      </c>
      <c r="S122" s="61">
        <v>45640</v>
      </c>
      <c r="T122" s="61">
        <v>45645</v>
      </c>
      <c r="U122" s="21" t="s">
        <v>184</v>
      </c>
      <c r="V122" s="46" t="s">
        <v>183</v>
      </c>
      <c r="W122" s="23">
        <f>sales[[#This Row],[ميعاد التسليم]]-sales[[#This Row],[ميعاد الطلب]]</f>
        <v>10</v>
      </c>
      <c r="X122" s="32">
        <f>sales[[#This Row],[تاريخ التسليم]]-sales[[#This Row],[ميعاد التسليم]]</f>
        <v>5</v>
      </c>
      <c r="Y122" s="32" t="str">
        <f>IF(sales[[#This Row],[فرق البضاغه المتسلمه]]&lt;=2,"تم تسليم فى الموعد","تسليم متاخر")</f>
        <v>تسليم متاخر</v>
      </c>
    </row>
    <row r="123" spans="1:25" ht="20.100000000000001" customHeight="1" x14ac:dyDescent="0.25">
      <c r="A123" s="35">
        <v>124</v>
      </c>
      <c r="B123" s="48">
        <v>240085463</v>
      </c>
      <c r="C123" s="21"/>
      <c r="D123" s="46" t="s">
        <v>277</v>
      </c>
      <c r="E123" s="57" t="s">
        <v>324</v>
      </c>
      <c r="F123" s="46" t="s">
        <v>278</v>
      </c>
      <c r="G123" s="21"/>
      <c r="H123" s="46" t="s">
        <v>29</v>
      </c>
      <c r="I123" s="57" t="s">
        <v>139</v>
      </c>
      <c r="J123" s="21" t="s">
        <v>153</v>
      </c>
      <c r="K123" s="21" t="s">
        <v>143</v>
      </c>
      <c r="L123" s="21"/>
      <c r="M123" s="76" t="s">
        <v>156</v>
      </c>
      <c r="N123" s="21"/>
      <c r="O123" s="21"/>
      <c r="P123" s="46">
        <v>10445</v>
      </c>
      <c r="Q123" s="23">
        <v>7707</v>
      </c>
      <c r="R123" s="61">
        <v>45635</v>
      </c>
      <c r="S123" s="61">
        <v>45657</v>
      </c>
      <c r="T123" s="61">
        <v>45638</v>
      </c>
      <c r="U123" s="21" t="s">
        <v>184</v>
      </c>
      <c r="V123" s="46" t="s">
        <v>183</v>
      </c>
      <c r="W123" s="23">
        <f>sales[[#This Row],[ميعاد التسليم]]-sales[[#This Row],[ميعاد الطلب]]</f>
        <v>22</v>
      </c>
      <c r="X123" s="32">
        <f>sales[[#This Row],[تاريخ التسليم]]-sales[[#This Row],[ميعاد التسليم]]</f>
        <v>-19</v>
      </c>
      <c r="Y123" s="32" t="str">
        <f>IF(sales[[#This Row],[فرق البضاغه المتسلمه]]&lt;=2,"تم تسليم فى الموعد","تسليم متاخر")</f>
        <v>تم تسليم فى الموعد</v>
      </c>
    </row>
    <row r="124" spans="1:25" ht="20.100000000000001" customHeight="1" x14ac:dyDescent="0.25">
      <c r="A124" s="35">
        <v>125</v>
      </c>
      <c r="B124" s="16">
        <v>1818591</v>
      </c>
      <c r="C124" s="16">
        <v>1332300</v>
      </c>
      <c r="D124" s="46" t="s">
        <v>279</v>
      </c>
      <c r="E124" s="57" t="s">
        <v>324</v>
      </c>
      <c r="F124" s="46" t="s">
        <v>62</v>
      </c>
      <c r="G124" s="21"/>
      <c r="H124" s="57" t="s">
        <v>8</v>
      </c>
      <c r="I124" s="46" t="s">
        <v>146</v>
      </c>
      <c r="J124" s="21" t="s">
        <v>280</v>
      </c>
      <c r="K124" s="21" t="s">
        <v>262</v>
      </c>
      <c r="L124" s="21"/>
      <c r="M124" s="76" t="s">
        <v>191</v>
      </c>
      <c r="N124" s="21" t="s">
        <v>267</v>
      </c>
      <c r="O124" s="21"/>
      <c r="P124" s="46">
        <v>11199</v>
      </c>
      <c r="Q124" s="23">
        <v>11257</v>
      </c>
      <c r="R124" s="61">
        <v>45638</v>
      </c>
      <c r="S124" s="61">
        <v>45650</v>
      </c>
      <c r="T124" s="61">
        <v>45645</v>
      </c>
      <c r="U124" s="21" t="s">
        <v>184</v>
      </c>
      <c r="V124" s="46" t="s">
        <v>183</v>
      </c>
      <c r="W124" s="23">
        <f>sales[[#This Row],[ميعاد التسليم]]-sales[[#This Row],[ميعاد الطلب]]</f>
        <v>12</v>
      </c>
      <c r="X124" s="32">
        <f>sales[[#This Row],[تاريخ التسليم]]-sales[[#This Row],[ميعاد التسليم]]</f>
        <v>-5</v>
      </c>
      <c r="Y124" s="32" t="str">
        <f>IF(sales[[#This Row],[فرق البضاغه المتسلمه]]&lt;=2,"تم تسليم فى الموعد","تسليم متاخر")</f>
        <v>تم تسليم فى الموعد</v>
      </c>
    </row>
    <row r="125" spans="1:25" ht="20.100000000000001" customHeight="1" x14ac:dyDescent="0.25">
      <c r="A125" s="35">
        <v>126</v>
      </c>
      <c r="B125" s="21">
        <v>1818396</v>
      </c>
      <c r="C125" s="21">
        <v>1332179</v>
      </c>
      <c r="D125" s="46" t="s">
        <v>281</v>
      </c>
      <c r="E125" s="57" t="s">
        <v>324</v>
      </c>
      <c r="F125" s="46" t="s">
        <v>36</v>
      </c>
      <c r="G125" s="21"/>
      <c r="H125" s="57" t="s">
        <v>8</v>
      </c>
      <c r="I125" s="57" t="s">
        <v>139</v>
      </c>
      <c r="J125" s="21" t="s">
        <v>153</v>
      </c>
      <c r="K125" s="21" t="s">
        <v>141</v>
      </c>
      <c r="L125" s="21">
        <v>80</v>
      </c>
      <c r="M125" s="76" t="s">
        <v>156</v>
      </c>
      <c r="N125" s="21"/>
      <c r="O125" s="21"/>
      <c r="P125" s="46">
        <v>13099</v>
      </c>
      <c r="Q125" s="23">
        <v>13231</v>
      </c>
      <c r="R125" s="61">
        <v>45638</v>
      </c>
      <c r="S125" s="61">
        <v>45654</v>
      </c>
      <c r="T125" s="61">
        <v>45655</v>
      </c>
      <c r="U125" s="21" t="s">
        <v>184</v>
      </c>
      <c r="V125" s="46" t="s">
        <v>183</v>
      </c>
      <c r="W125" s="23">
        <f>sales[[#This Row],[ميعاد التسليم]]-sales[[#This Row],[ميعاد الطلب]]</f>
        <v>16</v>
      </c>
      <c r="X125" s="32">
        <f>sales[[#This Row],[تاريخ التسليم]]-sales[[#This Row],[ميعاد التسليم]]</f>
        <v>1</v>
      </c>
      <c r="Y125" s="32" t="str">
        <f>IF(sales[[#This Row],[فرق البضاغه المتسلمه]]&lt;=2,"تم تسليم فى الموعد","تسليم متاخر")</f>
        <v>تم تسليم فى الموعد</v>
      </c>
    </row>
    <row r="126" spans="1:25" ht="20.100000000000001" customHeight="1" x14ac:dyDescent="0.25">
      <c r="A126" s="35">
        <v>127</v>
      </c>
      <c r="B126" s="48">
        <v>240085758</v>
      </c>
      <c r="C126" s="21"/>
      <c r="D126" s="46" t="s">
        <v>48</v>
      </c>
      <c r="E126" s="57" t="s">
        <v>325</v>
      </c>
      <c r="F126" s="46" t="s">
        <v>205</v>
      </c>
      <c r="G126" s="21"/>
      <c r="H126" s="46" t="s">
        <v>29</v>
      </c>
      <c r="I126" s="46" t="s">
        <v>154</v>
      </c>
      <c r="J126" s="21" t="s">
        <v>190</v>
      </c>
      <c r="K126" s="21" t="s">
        <v>230</v>
      </c>
      <c r="L126" s="21"/>
      <c r="M126" s="76" t="s">
        <v>191</v>
      </c>
      <c r="N126" s="21" t="s">
        <v>282</v>
      </c>
      <c r="O126" s="21"/>
      <c r="P126" s="46">
        <v>8700</v>
      </c>
      <c r="Q126" s="23" t="s">
        <v>78</v>
      </c>
      <c r="R126" s="61">
        <v>45640</v>
      </c>
      <c r="S126" s="61">
        <v>45662</v>
      </c>
      <c r="T126" s="61">
        <v>45655</v>
      </c>
      <c r="U126" s="21" t="s">
        <v>184</v>
      </c>
      <c r="V126" s="46" t="s">
        <v>183</v>
      </c>
      <c r="W126" s="86">
        <f>sales[[#This Row],[ميعاد التسليم]]-sales[[#This Row],[ميعاد الطلب]]</f>
        <v>22</v>
      </c>
      <c r="X126" s="32">
        <f>sales[[#This Row],[تاريخ التسليم]]-sales[[#This Row],[ميعاد التسليم]]</f>
        <v>-7</v>
      </c>
      <c r="Y126" s="32" t="str">
        <f>IF(sales[[#This Row],[فرق البضاغه المتسلمه]]&lt;=2,"تم تسليم فى الموعد","تسليم متاخر")</f>
        <v>تم تسليم فى الموعد</v>
      </c>
    </row>
    <row r="127" spans="1:25" ht="20.100000000000001" customHeight="1" x14ac:dyDescent="0.25">
      <c r="A127" s="66" t="s">
        <v>301</v>
      </c>
      <c r="B127"/>
      <c r="C127" s="67"/>
      <c r="D127" s="68">
        <f>SUBTOTAL(103,sales[أسم العميل])</f>
        <v>125</v>
      </c>
      <c r="E127" s="68"/>
      <c r="F127" s="68">
        <f>SUBTOTAL(103,sales[العنوان])</f>
        <v>125</v>
      </c>
      <c r="G127" s="67"/>
      <c r="H127" s="68"/>
      <c r="I127" s="68"/>
      <c r="J127" s="67"/>
      <c r="K127" s="67"/>
      <c r="L127" s="67"/>
      <c r="M127" s="78"/>
      <c r="N127" s="67"/>
      <c r="O127" s="67"/>
      <c r="P127" s="81">
        <f>SUBTOTAL(109,sales[[سعر البيع ]])</f>
        <v>1282885.81544</v>
      </c>
      <c r="Q127" s="67"/>
      <c r="R127" s="83"/>
      <c r="S127" s="83"/>
      <c r="T127" s="83"/>
      <c r="U127" s="67"/>
      <c r="V127" s="68">
        <f>SUBTOTAL(103,sales[الحالة])</f>
        <v>125</v>
      </c>
      <c r="W127" s="69"/>
      <c r="X127"/>
      <c r="Y127"/>
    </row>
    <row r="128" spans="1:25" ht="20.100000000000001" customHeight="1" x14ac:dyDescent="0.25">
      <c r="A128" s="2"/>
      <c r="B128" s="2"/>
      <c r="C128" s="2"/>
      <c r="D128" s="5"/>
      <c r="E128" s="5"/>
      <c r="F128" s="5"/>
      <c r="G128" s="2"/>
      <c r="H128" s="5"/>
      <c r="I128" s="5"/>
      <c r="J128" s="2"/>
      <c r="K128" s="2"/>
      <c r="L128" s="2"/>
      <c r="M128" s="79"/>
      <c r="N128" s="2"/>
      <c r="O128" s="2"/>
      <c r="P128" s="5"/>
      <c r="Q128" s="3"/>
      <c r="R128" s="84"/>
      <c r="S128" s="84"/>
      <c r="T128" s="84"/>
      <c r="U128" s="2"/>
      <c r="V128" s="60"/>
    </row>
    <row r="129" spans="1:22" ht="20.100000000000001" customHeight="1" x14ac:dyDescent="0.25">
      <c r="A129" s="2"/>
      <c r="B129" s="2"/>
      <c r="C129" s="2"/>
      <c r="D129" s="5"/>
      <c r="E129" s="5"/>
      <c r="F129" s="5"/>
      <c r="G129" s="2"/>
      <c r="H129" s="5"/>
      <c r="I129" s="5"/>
      <c r="J129" s="2"/>
      <c r="K129" s="2"/>
      <c r="L129" s="2"/>
      <c r="M129" s="79"/>
      <c r="N129" s="2"/>
      <c r="O129" s="2"/>
      <c r="P129" s="5"/>
      <c r="Q129" s="3"/>
      <c r="R129" s="84"/>
      <c r="S129" s="84"/>
      <c r="T129" s="84"/>
      <c r="U129" s="2"/>
      <c r="V129" s="60"/>
    </row>
    <row r="130" spans="1:22" ht="20.100000000000001" customHeight="1" x14ac:dyDescent="0.25">
      <c r="A130" s="2"/>
      <c r="B130" s="2"/>
      <c r="C130" s="2"/>
      <c r="D130" s="5"/>
      <c r="E130" s="5"/>
      <c r="F130" s="5"/>
      <c r="G130" s="2"/>
      <c r="H130" s="5"/>
      <c r="I130" s="5"/>
      <c r="J130" s="2"/>
      <c r="K130" s="2"/>
      <c r="L130" s="2"/>
      <c r="M130" s="79"/>
      <c r="N130" s="2"/>
      <c r="O130" s="2"/>
      <c r="P130" s="5"/>
      <c r="Q130" s="3"/>
      <c r="R130" s="84"/>
      <c r="S130" s="84"/>
      <c r="T130" s="84"/>
      <c r="U130" s="2"/>
      <c r="V130" s="60"/>
    </row>
    <row r="131" spans="1:22" ht="20.100000000000001" customHeight="1" x14ac:dyDescent="0.25">
      <c r="A131" s="2"/>
      <c r="B131" s="2"/>
      <c r="C131" s="2"/>
      <c r="D131" s="5"/>
      <c r="E131" s="5"/>
      <c r="F131" s="5"/>
      <c r="G131" s="2"/>
      <c r="H131" s="5"/>
      <c r="I131" s="5"/>
      <c r="J131" s="2"/>
      <c r="K131" s="2"/>
      <c r="L131" s="2"/>
      <c r="M131" s="79"/>
      <c r="N131" s="2"/>
      <c r="O131" s="2"/>
      <c r="P131" s="5"/>
      <c r="Q131" s="3"/>
      <c r="R131" s="84"/>
      <c r="S131" s="84"/>
      <c r="T131" s="84"/>
      <c r="U131" s="2"/>
      <c r="V131" s="60"/>
    </row>
    <row r="132" spans="1:22" ht="20.100000000000001" customHeight="1" x14ac:dyDescent="0.25">
      <c r="A132" s="2"/>
      <c r="B132" s="2"/>
      <c r="C132" s="2"/>
      <c r="D132" s="5"/>
      <c r="E132" s="5"/>
      <c r="F132" s="5"/>
      <c r="G132" s="2"/>
      <c r="H132" s="5"/>
      <c r="I132" s="5"/>
      <c r="J132" s="2"/>
      <c r="K132" s="2"/>
      <c r="L132" s="2"/>
      <c r="M132" s="79"/>
      <c r="N132" s="2"/>
      <c r="O132" s="2"/>
      <c r="P132" s="5"/>
      <c r="Q132" s="3"/>
      <c r="R132" s="84"/>
      <c r="S132" s="84"/>
      <c r="T132" s="84"/>
      <c r="U132" s="2"/>
      <c r="V132" s="60"/>
    </row>
    <row r="133" spans="1:22" ht="20.100000000000001" customHeight="1" x14ac:dyDescent="0.25">
      <c r="A133" s="2"/>
      <c r="B133" s="2"/>
      <c r="C133" s="2"/>
      <c r="D133" s="5"/>
      <c r="E133" s="5"/>
      <c r="F133" s="5"/>
      <c r="G133" s="2"/>
      <c r="H133" s="5"/>
      <c r="I133" s="5"/>
      <c r="J133" s="2"/>
      <c r="K133" s="2"/>
      <c r="L133" s="2"/>
      <c r="M133" s="79"/>
      <c r="N133" s="2"/>
      <c r="O133" s="2"/>
      <c r="P133" s="5"/>
      <c r="Q133" s="3"/>
      <c r="R133" s="84"/>
      <c r="S133" s="84"/>
      <c r="T133" s="84"/>
      <c r="U133" s="2"/>
      <c r="V133" s="60"/>
    </row>
    <row r="134" spans="1:22" ht="20.100000000000001" customHeight="1" x14ac:dyDescent="0.25">
      <c r="A134" s="2"/>
      <c r="B134" s="2"/>
      <c r="C134" s="2"/>
      <c r="D134" s="5"/>
      <c r="E134" s="5"/>
      <c r="F134" s="5"/>
      <c r="G134" s="2"/>
      <c r="H134" s="5"/>
      <c r="I134" s="5"/>
      <c r="J134" s="2"/>
      <c r="K134" s="2"/>
      <c r="L134" s="2"/>
      <c r="M134" s="79"/>
      <c r="N134" s="2"/>
      <c r="O134" s="2"/>
      <c r="P134" s="5"/>
      <c r="Q134" s="3"/>
      <c r="R134" s="84"/>
      <c r="S134" s="84"/>
      <c r="T134" s="84"/>
      <c r="U134" s="2"/>
      <c r="V134" s="60"/>
    </row>
    <row r="135" spans="1:22" ht="20.100000000000001" customHeight="1" x14ac:dyDescent="0.25">
      <c r="A135" s="2"/>
      <c r="B135" s="2"/>
      <c r="C135" s="2"/>
      <c r="D135" s="5"/>
      <c r="E135" s="5"/>
      <c r="F135" s="5"/>
      <c r="G135" s="2"/>
      <c r="H135" s="5"/>
      <c r="I135" s="5"/>
      <c r="J135" s="2"/>
      <c r="K135" s="2"/>
      <c r="L135" s="2"/>
      <c r="M135" s="79"/>
      <c r="N135" s="2"/>
      <c r="O135" s="2"/>
      <c r="P135" s="5"/>
      <c r="Q135" s="3"/>
      <c r="R135" s="84"/>
      <c r="S135" s="84"/>
      <c r="T135" s="84"/>
      <c r="U135" s="2"/>
      <c r="V135" s="60"/>
    </row>
    <row r="136" spans="1:22" ht="20.100000000000001" customHeight="1" x14ac:dyDescent="0.25">
      <c r="A136" s="2"/>
      <c r="B136" s="2"/>
      <c r="C136" s="2"/>
      <c r="D136" s="5"/>
      <c r="E136" s="5"/>
      <c r="F136" s="5"/>
      <c r="G136" s="2"/>
      <c r="H136" s="5"/>
      <c r="I136" s="5"/>
      <c r="J136" s="2"/>
      <c r="K136" s="2"/>
      <c r="L136" s="2"/>
      <c r="M136" s="79"/>
      <c r="N136" s="2"/>
      <c r="O136" s="2"/>
      <c r="P136" s="5"/>
      <c r="Q136" s="3"/>
      <c r="R136" s="84"/>
      <c r="S136" s="84"/>
      <c r="T136" s="84"/>
      <c r="U136" s="2"/>
      <c r="V136" s="60"/>
    </row>
    <row r="137" spans="1:22" ht="20.100000000000001" customHeight="1" x14ac:dyDescent="0.25">
      <c r="A137" s="2"/>
      <c r="B137" s="2"/>
      <c r="C137" s="2"/>
      <c r="D137" s="5"/>
      <c r="E137" s="5"/>
      <c r="F137" s="5"/>
      <c r="G137" s="2"/>
      <c r="H137" s="5"/>
      <c r="I137" s="5"/>
      <c r="J137" s="2"/>
      <c r="K137" s="2"/>
      <c r="L137" s="2"/>
      <c r="M137" s="79"/>
      <c r="N137" s="2"/>
      <c r="O137" s="2"/>
      <c r="P137" s="5"/>
      <c r="Q137" s="3"/>
      <c r="R137" s="84"/>
      <c r="S137" s="84"/>
      <c r="T137" s="84"/>
      <c r="U137" s="2"/>
      <c r="V137" s="60"/>
    </row>
    <row r="138" spans="1:22" ht="20.100000000000001" customHeight="1" x14ac:dyDescent="0.25">
      <c r="A138" s="2"/>
      <c r="B138" s="2"/>
      <c r="C138" s="2"/>
      <c r="D138" s="5"/>
      <c r="E138" s="5"/>
      <c r="F138" s="5"/>
      <c r="G138" s="2"/>
      <c r="H138" s="5"/>
      <c r="I138" s="5"/>
      <c r="J138" s="2"/>
      <c r="K138" s="2"/>
      <c r="L138" s="2"/>
      <c r="M138" s="79"/>
      <c r="N138" s="2"/>
      <c r="O138" s="2"/>
      <c r="P138" s="5"/>
      <c r="Q138" s="3"/>
      <c r="R138" s="84"/>
      <c r="S138" s="84"/>
      <c r="T138" s="84"/>
      <c r="U138" s="2"/>
      <c r="V138" s="60"/>
    </row>
    <row r="139" spans="1:22" ht="20.100000000000001" customHeight="1" x14ac:dyDescent="0.25">
      <c r="A139" s="2"/>
      <c r="B139" s="2"/>
      <c r="C139" s="2"/>
      <c r="D139" s="5"/>
      <c r="E139" s="5"/>
      <c r="F139" s="5"/>
      <c r="G139" s="2"/>
      <c r="H139" s="5"/>
      <c r="I139" s="5"/>
      <c r="J139" s="2"/>
      <c r="K139" s="2"/>
      <c r="L139" s="2"/>
      <c r="M139" s="79"/>
      <c r="N139" s="2"/>
      <c r="O139" s="2"/>
      <c r="P139" s="5"/>
      <c r="Q139" s="3"/>
      <c r="R139" s="84"/>
      <c r="S139" s="84"/>
      <c r="T139" s="84"/>
      <c r="U139" s="2"/>
      <c r="V139" s="60"/>
    </row>
    <row r="140" spans="1:22" ht="20.100000000000001" customHeight="1" x14ac:dyDescent="0.25">
      <c r="A140" s="2"/>
      <c r="B140" s="2"/>
      <c r="C140" s="2"/>
      <c r="D140" s="5"/>
      <c r="E140" s="5"/>
      <c r="F140" s="5"/>
      <c r="G140" s="2"/>
      <c r="H140" s="5"/>
      <c r="I140" s="5"/>
      <c r="J140" s="2"/>
      <c r="K140" s="2"/>
      <c r="L140" s="2"/>
      <c r="M140" s="79"/>
      <c r="N140" s="2"/>
      <c r="O140" s="2"/>
      <c r="P140" s="5"/>
      <c r="Q140" s="3"/>
      <c r="R140" s="84"/>
      <c r="S140" s="84"/>
      <c r="T140" s="84"/>
      <c r="U140" s="2"/>
      <c r="V140" s="60"/>
    </row>
    <row r="141" spans="1:22" ht="20.100000000000001" customHeight="1" x14ac:dyDescent="0.25">
      <c r="A141" s="2"/>
      <c r="B141" s="2"/>
      <c r="C141" s="2"/>
      <c r="D141" s="5"/>
      <c r="E141" s="5"/>
      <c r="F141" s="5"/>
      <c r="G141" s="2"/>
      <c r="H141" s="5"/>
      <c r="I141" s="5"/>
      <c r="J141" s="2"/>
      <c r="K141" s="2"/>
      <c r="L141" s="2"/>
      <c r="M141" s="79"/>
      <c r="N141" s="2"/>
      <c r="O141" s="2"/>
      <c r="P141" s="5"/>
      <c r="Q141" s="3"/>
      <c r="R141" s="84"/>
      <c r="S141" s="84"/>
      <c r="T141" s="84"/>
      <c r="U141" s="2"/>
      <c r="V141" s="60"/>
    </row>
    <row r="142" spans="1:22" ht="20.100000000000001" customHeight="1" x14ac:dyDescent="0.25">
      <c r="A142" s="2"/>
      <c r="B142" s="2"/>
      <c r="C142" s="2"/>
      <c r="D142" s="5"/>
      <c r="E142" s="5"/>
      <c r="F142" s="5"/>
      <c r="G142" s="2"/>
      <c r="H142" s="5"/>
      <c r="I142" s="5"/>
      <c r="J142" s="2"/>
      <c r="K142" s="2"/>
      <c r="L142" s="2"/>
      <c r="M142" s="79"/>
      <c r="N142" s="2"/>
      <c r="O142" s="2"/>
      <c r="P142" s="5"/>
      <c r="Q142" s="3"/>
      <c r="R142" s="84"/>
      <c r="S142" s="84"/>
      <c r="T142" s="84"/>
      <c r="U142" s="2"/>
      <c r="V142" s="60"/>
    </row>
    <row r="143" spans="1:22" ht="20.100000000000001" customHeight="1" x14ac:dyDescent="0.25">
      <c r="A143" s="2"/>
      <c r="B143" s="2"/>
      <c r="C143" s="2"/>
      <c r="D143" s="5"/>
      <c r="E143" s="5"/>
      <c r="F143" s="5"/>
      <c r="G143" s="2"/>
      <c r="H143" s="5"/>
      <c r="I143" s="5"/>
      <c r="J143" s="2"/>
      <c r="K143" s="2"/>
      <c r="L143" s="2"/>
      <c r="M143" s="79"/>
      <c r="N143" s="2"/>
      <c r="O143" s="2"/>
      <c r="P143" s="5"/>
      <c r="Q143" s="3"/>
      <c r="R143" s="84"/>
      <c r="S143" s="84"/>
      <c r="T143" s="84"/>
      <c r="U143" s="2"/>
      <c r="V143" s="60"/>
    </row>
    <row r="144" spans="1:22" ht="20.100000000000001" customHeight="1" x14ac:dyDescent="0.25">
      <c r="A144" s="2"/>
      <c r="B144" s="2"/>
      <c r="C144" s="2"/>
      <c r="D144" s="5"/>
      <c r="E144" s="5"/>
      <c r="F144" s="5"/>
      <c r="G144" s="2"/>
      <c r="H144" s="5"/>
      <c r="I144" s="5"/>
      <c r="J144" s="2"/>
      <c r="K144" s="2"/>
      <c r="L144" s="2"/>
      <c r="M144" s="79"/>
      <c r="N144" s="2"/>
      <c r="O144" s="2"/>
      <c r="P144" s="5"/>
      <c r="Q144" s="3"/>
      <c r="R144" s="84"/>
      <c r="S144" s="84"/>
      <c r="T144" s="84"/>
      <c r="U144" s="2"/>
      <c r="V144" s="60"/>
    </row>
    <row r="145" spans="1:22" ht="20.100000000000001" customHeight="1" x14ac:dyDescent="0.25">
      <c r="A145" s="2"/>
      <c r="B145" s="2"/>
      <c r="C145" s="2"/>
      <c r="D145" s="5"/>
      <c r="E145" s="5"/>
      <c r="F145" s="5"/>
      <c r="G145" s="2"/>
      <c r="H145" s="5"/>
      <c r="I145" s="5"/>
      <c r="J145" s="2"/>
      <c r="K145" s="2"/>
      <c r="L145" s="2"/>
      <c r="M145" s="79"/>
      <c r="N145" s="2"/>
      <c r="O145" s="2"/>
      <c r="P145" s="5"/>
      <c r="Q145" s="3"/>
      <c r="R145" s="84"/>
      <c r="S145" s="84"/>
      <c r="T145" s="84"/>
      <c r="U145" s="2"/>
      <c r="V145" s="60"/>
    </row>
    <row r="146" spans="1:22" ht="20.100000000000001" customHeight="1" x14ac:dyDescent="0.25">
      <c r="A146" s="2"/>
      <c r="B146" s="2"/>
      <c r="C146" s="2"/>
      <c r="D146" s="5"/>
      <c r="E146" s="5"/>
      <c r="F146" s="5"/>
      <c r="G146" s="2"/>
      <c r="H146" s="5"/>
      <c r="I146" s="5"/>
      <c r="J146" s="2"/>
      <c r="K146" s="2"/>
      <c r="L146" s="2"/>
      <c r="M146" s="79"/>
      <c r="N146" s="2"/>
      <c r="O146" s="2"/>
      <c r="P146" s="5"/>
      <c r="Q146" s="3"/>
      <c r="R146" s="84"/>
      <c r="S146" s="84"/>
      <c r="T146" s="84"/>
      <c r="U146" s="2"/>
      <c r="V146" s="60"/>
    </row>
    <row r="147" spans="1:22" ht="20.100000000000001" customHeight="1" x14ac:dyDescent="0.25">
      <c r="A147" s="2"/>
      <c r="B147" s="2"/>
      <c r="C147" s="2"/>
      <c r="D147" s="5"/>
      <c r="E147" s="5"/>
      <c r="F147" s="5"/>
      <c r="G147" s="2"/>
      <c r="H147" s="5"/>
      <c r="I147" s="5"/>
      <c r="J147" s="2"/>
      <c r="K147" s="2"/>
      <c r="L147" s="2"/>
      <c r="M147" s="79"/>
      <c r="N147" s="2"/>
      <c r="O147" s="2"/>
      <c r="P147" s="5"/>
      <c r="Q147" s="3"/>
      <c r="R147" s="84"/>
      <c r="S147" s="84"/>
      <c r="T147" s="84"/>
      <c r="U147" s="2"/>
      <c r="V147" s="60"/>
    </row>
    <row r="148" spans="1:22" ht="20.100000000000001" customHeight="1" x14ac:dyDescent="0.25">
      <c r="A148" s="2"/>
      <c r="B148" s="2"/>
      <c r="C148" s="2"/>
      <c r="D148" s="5"/>
      <c r="E148" s="5"/>
      <c r="F148" s="5"/>
      <c r="G148" s="2"/>
      <c r="H148" s="5"/>
      <c r="I148" s="5"/>
      <c r="J148" s="2"/>
      <c r="K148" s="2"/>
      <c r="L148" s="2"/>
      <c r="M148" s="79"/>
      <c r="N148" s="2"/>
      <c r="O148" s="2"/>
      <c r="P148" s="5"/>
      <c r="Q148" s="3"/>
      <c r="R148" s="84"/>
      <c r="S148" s="84"/>
      <c r="T148" s="84"/>
      <c r="U148" s="2"/>
      <c r="V148" s="60"/>
    </row>
    <row r="149" spans="1:22" ht="20.100000000000001" customHeight="1" x14ac:dyDescent="0.25">
      <c r="A149" s="2"/>
      <c r="B149" s="2"/>
      <c r="C149" s="2"/>
      <c r="D149" s="5"/>
      <c r="E149" s="5"/>
      <c r="F149" s="5"/>
      <c r="G149" s="2"/>
      <c r="H149" s="5"/>
      <c r="I149" s="5"/>
      <c r="J149" s="2"/>
      <c r="K149" s="2"/>
      <c r="L149" s="2"/>
      <c r="M149" s="79"/>
      <c r="N149" s="2"/>
      <c r="O149" s="2"/>
      <c r="P149" s="5"/>
      <c r="Q149" s="3"/>
      <c r="R149" s="84"/>
      <c r="S149" s="84"/>
      <c r="T149" s="84"/>
      <c r="U149" s="2"/>
      <c r="V149" s="60"/>
    </row>
    <row r="150" spans="1:22" ht="20.100000000000001" customHeight="1" x14ac:dyDescent="0.25">
      <c r="A150" s="2"/>
      <c r="B150" s="2"/>
      <c r="C150" s="2"/>
      <c r="D150" s="5"/>
      <c r="E150" s="5"/>
      <c r="F150" s="5"/>
      <c r="G150" s="2"/>
      <c r="H150" s="5"/>
      <c r="I150" s="5"/>
      <c r="J150" s="2"/>
      <c r="K150" s="2"/>
      <c r="L150" s="2"/>
      <c r="M150" s="79"/>
      <c r="N150" s="2"/>
      <c r="O150" s="2"/>
      <c r="P150" s="5"/>
      <c r="Q150" s="3"/>
      <c r="R150" s="84"/>
      <c r="S150" s="84"/>
      <c r="T150" s="84"/>
      <c r="U150" s="2"/>
      <c r="V150" s="60"/>
    </row>
    <row r="151" spans="1:22" ht="20.100000000000001" customHeight="1" x14ac:dyDescent="0.25">
      <c r="A151" s="2"/>
      <c r="B151" s="2"/>
      <c r="C151" s="2"/>
      <c r="D151" s="5"/>
      <c r="E151" s="5"/>
      <c r="F151" s="5"/>
      <c r="G151" s="2"/>
      <c r="H151" s="5"/>
      <c r="I151" s="5"/>
      <c r="J151" s="2"/>
      <c r="K151" s="2"/>
      <c r="L151" s="2"/>
      <c r="M151" s="79"/>
      <c r="N151" s="2"/>
      <c r="O151" s="2"/>
      <c r="P151" s="5"/>
      <c r="Q151" s="3"/>
      <c r="R151" s="84"/>
      <c r="S151" s="84"/>
      <c r="T151" s="84"/>
      <c r="U151" s="2"/>
      <c r="V151" s="60"/>
    </row>
    <row r="152" spans="1:22" ht="20.100000000000001" customHeight="1" x14ac:dyDescent="0.25">
      <c r="A152" s="2"/>
      <c r="B152" s="2"/>
      <c r="C152" s="2"/>
      <c r="D152" s="5"/>
      <c r="E152" s="5"/>
      <c r="F152" s="5"/>
      <c r="G152" s="2"/>
      <c r="H152" s="5"/>
      <c r="I152" s="5"/>
      <c r="J152" s="2"/>
      <c r="K152" s="2"/>
      <c r="L152" s="2"/>
      <c r="M152" s="79"/>
      <c r="N152" s="2"/>
      <c r="O152" s="2"/>
      <c r="P152" s="5"/>
      <c r="Q152" s="3"/>
      <c r="R152" s="84"/>
      <c r="S152" s="84"/>
      <c r="T152" s="84"/>
      <c r="U152" s="2"/>
      <c r="V152" s="60"/>
    </row>
    <row r="153" spans="1:22" ht="20.100000000000001" customHeight="1" x14ac:dyDescent="0.25">
      <c r="A153" s="2"/>
      <c r="B153" s="2"/>
      <c r="C153" s="2"/>
      <c r="D153" s="5"/>
      <c r="E153" s="5"/>
      <c r="F153" s="5"/>
      <c r="G153" s="2"/>
      <c r="H153" s="5"/>
      <c r="I153" s="5"/>
      <c r="J153" s="2"/>
      <c r="K153" s="2"/>
      <c r="L153" s="2"/>
      <c r="M153" s="79"/>
      <c r="N153" s="2"/>
      <c r="O153" s="2"/>
      <c r="P153" s="5"/>
      <c r="Q153" s="3"/>
      <c r="R153" s="84"/>
      <c r="S153" s="84"/>
      <c r="T153" s="84"/>
      <c r="U153" s="2"/>
      <c r="V153" s="60"/>
    </row>
    <row r="154" spans="1:22" ht="20.100000000000001" customHeight="1" x14ac:dyDescent="0.25">
      <c r="A154" s="2"/>
      <c r="B154" s="2"/>
      <c r="C154" s="2"/>
      <c r="D154" s="5"/>
      <c r="E154" s="5"/>
      <c r="F154" s="5"/>
      <c r="G154" s="2"/>
      <c r="H154" s="5"/>
      <c r="I154" s="5"/>
      <c r="J154" s="2"/>
      <c r="K154" s="2"/>
      <c r="L154" s="2"/>
      <c r="M154" s="79"/>
      <c r="N154" s="2"/>
      <c r="O154" s="2"/>
      <c r="P154" s="5"/>
      <c r="Q154" s="3"/>
      <c r="R154" s="84"/>
      <c r="S154" s="84"/>
      <c r="T154" s="84"/>
      <c r="U154" s="2"/>
      <c r="V154" s="60"/>
    </row>
    <row r="155" spans="1:22" ht="20.100000000000001" customHeight="1" x14ac:dyDescent="0.25">
      <c r="A155" s="2"/>
      <c r="B155" s="2"/>
      <c r="C155" s="2"/>
      <c r="D155" s="5"/>
      <c r="E155" s="5"/>
      <c r="F155" s="5"/>
      <c r="G155" s="2"/>
      <c r="H155" s="5"/>
      <c r="I155" s="5"/>
      <c r="J155" s="2"/>
      <c r="K155" s="2"/>
      <c r="L155" s="2"/>
      <c r="M155" s="79"/>
      <c r="N155" s="2"/>
      <c r="O155" s="2"/>
      <c r="P155" s="5"/>
      <c r="Q155" s="3"/>
      <c r="R155" s="84"/>
      <c r="S155" s="84"/>
      <c r="T155" s="84"/>
      <c r="U155" s="2"/>
      <c r="V155" s="60"/>
    </row>
    <row r="156" spans="1:22" ht="20.100000000000001" customHeight="1" x14ac:dyDescent="0.25">
      <c r="A156" s="2"/>
      <c r="B156" s="2"/>
      <c r="C156" s="2"/>
      <c r="D156" s="5"/>
      <c r="E156" s="5"/>
      <c r="F156" s="5"/>
      <c r="G156" s="2"/>
      <c r="H156" s="5"/>
      <c r="I156" s="5"/>
      <c r="J156" s="2"/>
      <c r="K156" s="2"/>
      <c r="L156" s="2"/>
      <c r="M156" s="79"/>
      <c r="N156" s="2"/>
      <c r="O156" s="2"/>
      <c r="P156" s="5"/>
      <c r="Q156" s="3"/>
      <c r="R156" s="84"/>
      <c r="S156" s="84"/>
      <c r="T156" s="84"/>
      <c r="U156" s="2"/>
      <c r="V156" s="60"/>
    </row>
    <row r="157" spans="1:22" ht="20.100000000000001" customHeight="1" x14ac:dyDescent="0.25">
      <c r="A157" s="2"/>
      <c r="B157" s="2"/>
      <c r="C157" s="2"/>
      <c r="D157" s="5"/>
      <c r="E157" s="5"/>
      <c r="F157" s="5"/>
      <c r="G157" s="2"/>
      <c r="H157" s="5"/>
      <c r="I157" s="5"/>
      <c r="J157" s="2"/>
      <c r="K157" s="2"/>
      <c r="L157" s="2"/>
      <c r="M157" s="79"/>
      <c r="N157" s="2"/>
      <c r="O157" s="2"/>
      <c r="P157" s="5"/>
      <c r="Q157" s="3"/>
      <c r="R157" s="84"/>
      <c r="S157" s="84"/>
      <c r="T157" s="84"/>
      <c r="U157" s="2"/>
      <c r="V157" s="60"/>
    </row>
    <row r="158" spans="1:22" ht="20.100000000000001" customHeight="1" x14ac:dyDescent="0.25">
      <c r="A158" s="2"/>
      <c r="B158" s="2"/>
      <c r="C158" s="2"/>
      <c r="D158" s="5"/>
      <c r="E158" s="5"/>
      <c r="F158" s="5"/>
      <c r="G158" s="2"/>
      <c r="H158" s="5"/>
      <c r="I158" s="5"/>
      <c r="J158" s="2"/>
      <c r="K158" s="2"/>
      <c r="L158" s="2"/>
      <c r="M158" s="79"/>
      <c r="N158" s="2"/>
      <c r="O158" s="2"/>
      <c r="P158" s="5"/>
      <c r="Q158" s="3"/>
      <c r="R158" s="84"/>
      <c r="S158" s="84"/>
      <c r="T158" s="84"/>
      <c r="U158" s="2"/>
      <c r="V158" s="60"/>
    </row>
    <row r="159" spans="1:22" ht="20.100000000000001" customHeight="1" x14ac:dyDescent="0.25">
      <c r="A159" s="2"/>
      <c r="B159" s="2"/>
      <c r="C159" s="2"/>
      <c r="D159" s="5"/>
      <c r="E159" s="5"/>
      <c r="F159" s="5"/>
      <c r="G159" s="2"/>
      <c r="H159" s="5"/>
      <c r="I159" s="5"/>
      <c r="J159" s="2"/>
      <c r="K159" s="2"/>
      <c r="L159" s="2"/>
      <c r="M159" s="79"/>
      <c r="N159" s="2"/>
      <c r="O159" s="2"/>
      <c r="P159" s="5"/>
      <c r="Q159" s="3"/>
      <c r="R159" s="84"/>
      <c r="S159" s="84"/>
      <c r="T159" s="84"/>
      <c r="U159" s="2"/>
      <c r="V159" s="60"/>
    </row>
    <row r="160" spans="1:22" ht="20.100000000000001" customHeight="1" x14ac:dyDescent="0.25">
      <c r="A160" s="2"/>
      <c r="B160" s="2"/>
      <c r="C160" s="2"/>
      <c r="D160" s="5"/>
      <c r="E160" s="5"/>
      <c r="F160" s="5"/>
      <c r="G160" s="2"/>
      <c r="H160" s="5"/>
      <c r="I160" s="5"/>
      <c r="J160" s="2"/>
      <c r="K160" s="2"/>
      <c r="L160" s="2"/>
      <c r="M160" s="79"/>
      <c r="N160" s="2"/>
      <c r="O160" s="2"/>
      <c r="P160" s="5"/>
      <c r="Q160" s="3"/>
      <c r="R160" s="84"/>
      <c r="S160" s="84"/>
      <c r="T160" s="84"/>
      <c r="U160" s="2"/>
      <c r="V160" s="60"/>
    </row>
    <row r="161" spans="1:22" ht="20.100000000000001" customHeight="1" x14ac:dyDescent="0.25">
      <c r="A161" s="2"/>
      <c r="B161" s="2"/>
      <c r="C161" s="2"/>
      <c r="D161" s="5"/>
      <c r="E161" s="5"/>
      <c r="F161" s="5"/>
      <c r="G161" s="2"/>
      <c r="H161" s="5"/>
      <c r="I161" s="5"/>
      <c r="J161" s="2"/>
      <c r="K161" s="2"/>
      <c r="L161" s="2"/>
      <c r="M161" s="79"/>
      <c r="N161" s="2"/>
      <c r="O161" s="2"/>
      <c r="P161" s="5"/>
      <c r="Q161" s="3"/>
      <c r="R161" s="84"/>
      <c r="S161" s="84"/>
      <c r="T161" s="84"/>
      <c r="U161" s="2"/>
      <c r="V161" s="60"/>
    </row>
    <row r="162" spans="1:22" ht="20.100000000000001" customHeight="1" x14ac:dyDescent="0.25">
      <c r="A162" s="2"/>
      <c r="B162" s="2"/>
      <c r="C162" s="2"/>
      <c r="D162" s="5"/>
      <c r="E162" s="5"/>
      <c r="F162" s="5"/>
      <c r="G162" s="2"/>
      <c r="H162" s="5"/>
      <c r="I162" s="5"/>
      <c r="J162" s="2"/>
      <c r="K162" s="2"/>
      <c r="L162" s="2"/>
      <c r="M162" s="79"/>
      <c r="N162" s="2"/>
      <c r="O162" s="2"/>
      <c r="P162" s="5"/>
      <c r="Q162" s="3"/>
      <c r="R162" s="84"/>
      <c r="S162" s="84"/>
      <c r="T162" s="84"/>
      <c r="U162" s="2"/>
      <c r="V162" s="60"/>
    </row>
    <row r="163" spans="1:22" ht="20.100000000000001" customHeight="1" x14ac:dyDescent="0.25">
      <c r="A163" s="2"/>
      <c r="B163" s="2"/>
      <c r="C163" s="2"/>
      <c r="D163" s="5"/>
      <c r="E163" s="5"/>
      <c r="F163" s="5"/>
      <c r="G163" s="2"/>
      <c r="H163" s="5"/>
      <c r="I163" s="5"/>
      <c r="J163" s="2"/>
      <c r="K163" s="2"/>
      <c r="L163" s="2"/>
      <c r="M163" s="79"/>
      <c r="N163" s="2"/>
      <c r="O163" s="2"/>
      <c r="P163" s="5"/>
      <c r="Q163" s="3"/>
      <c r="R163" s="84"/>
      <c r="S163" s="84"/>
      <c r="T163" s="84"/>
      <c r="U163" s="2"/>
      <c r="V163" s="60"/>
    </row>
    <row r="164" spans="1:22" ht="20.100000000000001" customHeight="1" x14ac:dyDescent="0.25">
      <c r="A164" s="2"/>
      <c r="B164" s="2"/>
      <c r="C164" s="2"/>
      <c r="D164" s="5"/>
      <c r="E164" s="5"/>
      <c r="F164" s="5"/>
      <c r="G164" s="2"/>
      <c r="H164" s="5"/>
      <c r="I164" s="5"/>
      <c r="J164" s="2"/>
      <c r="K164" s="2"/>
      <c r="L164" s="2"/>
      <c r="M164" s="79"/>
      <c r="N164" s="2"/>
      <c r="O164" s="2"/>
      <c r="P164" s="5"/>
      <c r="Q164" s="3"/>
      <c r="R164" s="84"/>
      <c r="S164" s="84"/>
      <c r="T164" s="84"/>
      <c r="U164" s="2"/>
      <c r="V164" s="60"/>
    </row>
    <row r="165" spans="1:22" ht="20.100000000000001" customHeight="1" x14ac:dyDescent="0.25">
      <c r="A165" s="2"/>
      <c r="B165" s="2"/>
      <c r="C165" s="2"/>
      <c r="D165" s="5"/>
      <c r="E165" s="5"/>
      <c r="F165" s="5"/>
      <c r="G165" s="2"/>
      <c r="H165" s="5"/>
      <c r="I165" s="5"/>
      <c r="J165" s="2"/>
      <c r="K165" s="2"/>
      <c r="L165" s="2"/>
      <c r="M165" s="79"/>
      <c r="N165" s="2"/>
      <c r="O165" s="2"/>
      <c r="P165" s="5"/>
      <c r="Q165" s="3"/>
      <c r="R165" s="84"/>
      <c r="S165" s="84"/>
      <c r="T165" s="84"/>
      <c r="U165" s="2"/>
      <c r="V165" s="60"/>
    </row>
    <row r="166" spans="1:22" ht="20.100000000000001" customHeight="1" x14ac:dyDescent="0.25">
      <c r="A166" s="2"/>
      <c r="B166" s="2"/>
      <c r="C166" s="2"/>
      <c r="D166" s="5"/>
      <c r="E166" s="5"/>
      <c r="F166" s="5"/>
      <c r="G166" s="2"/>
      <c r="H166" s="5"/>
      <c r="I166" s="5"/>
      <c r="J166" s="2"/>
      <c r="K166" s="2"/>
      <c r="L166" s="2"/>
      <c r="M166" s="79"/>
      <c r="N166" s="2"/>
      <c r="O166" s="2"/>
      <c r="P166" s="5"/>
      <c r="Q166" s="3"/>
      <c r="R166" s="84"/>
      <c r="S166" s="84"/>
      <c r="T166" s="84"/>
      <c r="U166" s="2"/>
      <c r="V166" s="60"/>
    </row>
    <row r="167" spans="1:22" ht="20.100000000000001" customHeight="1" x14ac:dyDescent="0.25">
      <c r="A167" s="2"/>
      <c r="B167" s="2"/>
      <c r="C167" s="2"/>
      <c r="D167" s="5"/>
      <c r="E167" s="5"/>
      <c r="F167" s="5"/>
      <c r="G167" s="2"/>
      <c r="H167" s="5"/>
      <c r="I167" s="5"/>
      <c r="J167" s="2"/>
      <c r="K167" s="2"/>
      <c r="L167" s="2"/>
      <c r="M167" s="79"/>
      <c r="N167" s="2"/>
      <c r="O167" s="2"/>
      <c r="P167" s="5"/>
      <c r="Q167" s="3"/>
      <c r="R167" s="84"/>
      <c r="S167" s="84"/>
      <c r="T167" s="84"/>
      <c r="U167" s="2"/>
      <c r="V167" s="60"/>
    </row>
    <row r="168" spans="1:22" ht="20.100000000000001" customHeight="1" x14ac:dyDescent="0.25">
      <c r="A168" s="2"/>
      <c r="B168" s="2"/>
      <c r="C168" s="2"/>
      <c r="D168" s="5"/>
      <c r="E168" s="5"/>
      <c r="F168" s="5"/>
      <c r="G168" s="2"/>
      <c r="H168" s="5"/>
      <c r="I168" s="5"/>
      <c r="J168" s="2"/>
      <c r="K168" s="2"/>
      <c r="L168" s="2"/>
      <c r="M168" s="79"/>
      <c r="N168" s="2"/>
      <c r="O168" s="2"/>
      <c r="P168" s="5"/>
      <c r="Q168" s="3"/>
      <c r="R168" s="84"/>
      <c r="S168" s="84"/>
      <c r="T168" s="84"/>
      <c r="U168" s="2"/>
      <c r="V168" s="60"/>
    </row>
    <row r="169" spans="1:22" ht="20.100000000000001" customHeight="1" x14ac:dyDescent="0.25">
      <c r="A169" s="2"/>
      <c r="B169" s="2"/>
      <c r="C169" s="2"/>
      <c r="D169" s="5"/>
      <c r="E169" s="5"/>
      <c r="F169" s="5"/>
      <c r="G169" s="2"/>
      <c r="H169" s="5"/>
      <c r="I169" s="5"/>
      <c r="J169" s="2"/>
      <c r="K169" s="2"/>
      <c r="L169" s="2"/>
      <c r="M169" s="79"/>
      <c r="N169" s="2"/>
      <c r="O169" s="2"/>
      <c r="P169" s="5"/>
      <c r="Q169" s="3"/>
      <c r="R169" s="84"/>
      <c r="S169" s="84"/>
      <c r="T169" s="84"/>
      <c r="U169" s="2"/>
      <c r="V169" s="60"/>
    </row>
    <row r="170" spans="1:22" ht="20.100000000000001" customHeight="1" x14ac:dyDescent="0.25">
      <c r="A170" s="2"/>
      <c r="B170" s="2"/>
      <c r="C170" s="2"/>
      <c r="D170" s="5"/>
      <c r="E170" s="5"/>
      <c r="F170" s="5"/>
      <c r="G170" s="2"/>
      <c r="H170" s="5"/>
      <c r="I170" s="5"/>
      <c r="J170" s="2"/>
      <c r="K170" s="2"/>
      <c r="L170" s="2"/>
      <c r="M170" s="79"/>
      <c r="N170" s="2"/>
      <c r="O170" s="2"/>
      <c r="P170" s="5"/>
      <c r="Q170" s="3"/>
      <c r="R170" s="84"/>
      <c r="S170" s="84"/>
      <c r="T170" s="84"/>
      <c r="U170" s="2"/>
      <c r="V170" s="60"/>
    </row>
    <row r="171" spans="1:22" ht="20.100000000000001" customHeight="1" x14ac:dyDescent="0.25">
      <c r="A171" s="2"/>
      <c r="B171" s="2"/>
      <c r="C171" s="2"/>
      <c r="D171" s="5"/>
      <c r="E171" s="5"/>
      <c r="F171" s="5"/>
      <c r="G171" s="2"/>
      <c r="H171" s="5"/>
      <c r="I171" s="5"/>
      <c r="J171" s="2"/>
      <c r="K171" s="2"/>
      <c r="L171" s="2"/>
      <c r="M171" s="79"/>
      <c r="N171" s="2"/>
      <c r="O171" s="2"/>
      <c r="P171" s="5"/>
      <c r="Q171" s="3"/>
      <c r="R171" s="84"/>
      <c r="S171" s="84"/>
      <c r="T171" s="84"/>
      <c r="U171" s="2"/>
      <c r="V171" s="60"/>
    </row>
    <row r="172" spans="1:22" ht="20.100000000000001" customHeight="1" x14ac:dyDescent="0.25">
      <c r="A172" s="2"/>
      <c r="B172" s="2"/>
      <c r="C172" s="2"/>
      <c r="D172" s="5"/>
      <c r="E172" s="5"/>
      <c r="F172" s="5"/>
      <c r="G172" s="2"/>
      <c r="H172" s="5"/>
      <c r="I172" s="5"/>
      <c r="J172" s="2"/>
      <c r="K172" s="2"/>
      <c r="L172" s="2"/>
      <c r="M172" s="79"/>
      <c r="N172" s="2"/>
      <c r="O172" s="2"/>
      <c r="P172" s="5"/>
      <c r="Q172" s="3"/>
      <c r="R172" s="84"/>
      <c r="S172" s="84"/>
      <c r="T172" s="84"/>
      <c r="U172" s="2"/>
      <c r="V172" s="60"/>
    </row>
    <row r="173" spans="1:22" ht="20.100000000000001" customHeight="1" x14ac:dyDescent="0.25">
      <c r="A173" s="2"/>
      <c r="B173" s="2"/>
      <c r="C173" s="2"/>
      <c r="D173" s="5"/>
      <c r="E173" s="5"/>
      <c r="F173" s="5"/>
      <c r="G173" s="2"/>
      <c r="H173" s="5"/>
      <c r="I173" s="5"/>
      <c r="J173" s="2"/>
      <c r="K173" s="2"/>
      <c r="L173" s="2"/>
      <c r="M173" s="79"/>
      <c r="N173" s="2"/>
      <c r="O173" s="2"/>
      <c r="P173" s="5"/>
      <c r="Q173" s="3"/>
      <c r="R173" s="84"/>
      <c r="S173" s="84"/>
      <c r="T173" s="84"/>
      <c r="U173" s="2"/>
      <c r="V173" s="60"/>
    </row>
    <row r="174" spans="1:22" ht="20.100000000000001" customHeight="1" x14ac:dyDescent="0.25">
      <c r="A174" s="2"/>
      <c r="B174" s="2"/>
      <c r="C174" s="2"/>
      <c r="D174" s="5"/>
      <c r="E174" s="5"/>
      <c r="F174" s="5"/>
      <c r="G174" s="2"/>
      <c r="H174" s="5"/>
      <c r="I174" s="5"/>
      <c r="J174" s="2"/>
      <c r="K174" s="2"/>
      <c r="L174" s="2"/>
      <c r="M174" s="79"/>
      <c r="N174" s="2"/>
      <c r="O174" s="2"/>
      <c r="P174" s="5"/>
      <c r="Q174" s="3"/>
      <c r="R174" s="84"/>
      <c r="S174" s="84"/>
      <c r="T174" s="84"/>
      <c r="U174" s="2"/>
      <c r="V174" s="60"/>
    </row>
    <row r="175" spans="1:22" ht="20.100000000000001" customHeight="1" x14ac:dyDescent="0.25">
      <c r="A175" s="2"/>
      <c r="B175" s="2"/>
      <c r="C175" s="2"/>
      <c r="D175" s="5"/>
      <c r="E175" s="5"/>
      <c r="F175" s="5"/>
      <c r="G175" s="2"/>
      <c r="H175" s="5"/>
      <c r="I175" s="5"/>
      <c r="J175" s="2"/>
      <c r="K175" s="2"/>
      <c r="L175" s="2"/>
      <c r="M175" s="79"/>
      <c r="N175" s="2"/>
      <c r="O175" s="2"/>
      <c r="P175" s="5"/>
      <c r="Q175" s="3"/>
      <c r="R175" s="84"/>
      <c r="S175" s="84"/>
      <c r="T175" s="84"/>
      <c r="U175" s="2"/>
      <c r="V175" s="60"/>
    </row>
    <row r="176" spans="1:22" ht="20.100000000000001" customHeight="1" x14ac:dyDescent="0.25">
      <c r="A176" s="2"/>
      <c r="B176" s="2"/>
      <c r="C176" s="2"/>
      <c r="D176" s="5"/>
      <c r="E176" s="5"/>
      <c r="F176" s="5"/>
      <c r="G176" s="2"/>
      <c r="H176" s="5"/>
      <c r="I176" s="5"/>
      <c r="J176" s="2"/>
      <c r="K176" s="2"/>
      <c r="L176" s="2"/>
      <c r="M176" s="79"/>
      <c r="N176" s="2"/>
      <c r="O176" s="2"/>
      <c r="P176" s="5"/>
      <c r="Q176" s="3"/>
      <c r="R176" s="84"/>
      <c r="S176" s="84"/>
      <c r="T176" s="84"/>
      <c r="U176" s="2"/>
      <c r="V176" s="60"/>
    </row>
    <row r="177" spans="1:22" ht="20.100000000000001" customHeight="1" x14ac:dyDescent="0.25">
      <c r="A177" s="2"/>
      <c r="B177" s="2"/>
      <c r="C177" s="2"/>
      <c r="D177" s="5"/>
      <c r="E177" s="5"/>
      <c r="F177" s="5"/>
      <c r="G177" s="2"/>
      <c r="H177" s="5"/>
      <c r="I177" s="5"/>
      <c r="J177" s="2"/>
      <c r="K177" s="2"/>
      <c r="L177" s="2"/>
      <c r="M177" s="79"/>
      <c r="N177" s="2"/>
      <c r="O177" s="2"/>
      <c r="P177" s="5"/>
      <c r="Q177" s="3"/>
      <c r="R177" s="84"/>
      <c r="S177" s="84"/>
      <c r="T177" s="84"/>
      <c r="U177" s="2"/>
      <c r="V177" s="60"/>
    </row>
    <row r="178" spans="1:22" ht="20.100000000000001" customHeight="1" x14ac:dyDescent="0.25">
      <c r="A178" s="2"/>
      <c r="B178" s="2"/>
      <c r="C178" s="2"/>
      <c r="D178" s="5"/>
      <c r="E178" s="5"/>
      <c r="F178" s="5"/>
      <c r="G178" s="2"/>
      <c r="H178" s="5"/>
      <c r="I178" s="5"/>
      <c r="J178" s="2"/>
      <c r="K178" s="2"/>
      <c r="L178" s="2"/>
      <c r="M178" s="79"/>
      <c r="N178" s="2"/>
      <c r="O178" s="2"/>
      <c r="P178" s="5"/>
      <c r="Q178" s="3"/>
      <c r="R178" s="84"/>
      <c r="S178" s="84"/>
      <c r="T178" s="84"/>
      <c r="U178" s="2"/>
      <c r="V178" s="60"/>
    </row>
    <row r="179" spans="1:22" ht="20.100000000000001" customHeight="1" x14ac:dyDescent="0.25">
      <c r="A179" s="2"/>
      <c r="B179" s="2"/>
      <c r="C179" s="2"/>
      <c r="D179" s="5"/>
      <c r="E179" s="5"/>
      <c r="F179" s="5"/>
      <c r="G179" s="2"/>
      <c r="H179" s="5"/>
      <c r="I179" s="5"/>
      <c r="J179" s="2"/>
      <c r="K179" s="2"/>
      <c r="L179" s="2"/>
      <c r="M179" s="79"/>
      <c r="N179" s="2"/>
      <c r="O179" s="2"/>
      <c r="P179" s="5"/>
      <c r="Q179" s="3"/>
      <c r="R179" s="84"/>
      <c r="S179" s="84"/>
      <c r="T179" s="84"/>
      <c r="U179" s="2"/>
      <c r="V179" s="60"/>
    </row>
    <row r="180" spans="1:22" ht="20.100000000000001" customHeight="1" x14ac:dyDescent="0.25">
      <c r="A180" s="2"/>
      <c r="B180" s="2"/>
      <c r="C180" s="2"/>
      <c r="D180" s="5"/>
      <c r="E180" s="5"/>
      <c r="F180" s="5"/>
      <c r="G180" s="2"/>
      <c r="H180" s="5"/>
      <c r="I180" s="5"/>
      <c r="J180" s="2"/>
      <c r="K180" s="2"/>
      <c r="L180" s="2"/>
      <c r="M180" s="79"/>
      <c r="N180" s="2"/>
      <c r="O180" s="2"/>
      <c r="P180" s="5"/>
      <c r="Q180" s="3"/>
      <c r="R180" s="84"/>
      <c r="S180" s="84"/>
      <c r="T180" s="84"/>
      <c r="U180" s="2"/>
      <c r="V180" s="60"/>
    </row>
    <row r="181" spans="1:22" ht="20.100000000000001" customHeight="1" x14ac:dyDescent="0.25">
      <c r="A181" s="2"/>
      <c r="B181" s="2"/>
      <c r="C181" s="2"/>
      <c r="D181" s="5"/>
      <c r="E181" s="5"/>
      <c r="F181" s="5"/>
      <c r="G181" s="2"/>
      <c r="H181" s="5"/>
      <c r="I181" s="5"/>
      <c r="J181" s="2"/>
      <c r="K181" s="2"/>
      <c r="L181" s="2"/>
      <c r="M181" s="79"/>
      <c r="N181" s="2"/>
      <c r="O181" s="2"/>
      <c r="P181" s="5"/>
      <c r="Q181" s="3"/>
      <c r="R181" s="84"/>
      <c r="S181" s="84"/>
      <c r="T181" s="84"/>
      <c r="U181" s="2"/>
      <c r="V181" s="60"/>
    </row>
    <row r="182" spans="1:22" ht="20.100000000000001" customHeight="1" x14ac:dyDescent="0.25">
      <c r="A182" s="2"/>
      <c r="B182" s="2"/>
      <c r="C182" s="2"/>
      <c r="D182" s="5"/>
      <c r="E182" s="5"/>
      <c r="F182" s="5"/>
      <c r="G182" s="2"/>
      <c r="H182" s="5"/>
      <c r="I182" s="5"/>
      <c r="J182" s="2"/>
      <c r="K182" s="2"/>
      <c r="L182" s="2"/>
      <c r="M182" s="79"/>
      <c r="N182" s="2"/>
      <c r="O182" s="2"/>
      <c r="P182" s="5"/>
      <c r="Q182" s="3"/>
      <c r="R182" s="84"/>
      <c r="S182" s="84"/>
      <c r="T182" s="84"/>
      <c r="U182" s="2"/>
      <c r="V182" s="60"/>
    </row>
    <row r="183" spans="1:22" ht="20.100000000000001" customHeight="1" x14ac:dyDescent="0.25">
      <c r="A183" s="2"/>
      <c r="B183" s="2"/>
      <c r="C183" s="2"/>
      <c r="D183" s="5"/>
      <c r="E183" s="5"/>
      <c r="F183" s="5"/>
      <c r="G183" s="2"/>
      <c r="H183" s="5"/>
      <c r="I183" s="5"/>
      <c r="J183" s="2"/>
      <c r="K183" s="2"/>
      <c r="L183" s="2"/>
      <c r="M183" s="79"/>
      <c r="N183" s="2"/>
      <c r="O183" s="2"/>
      <c r="P183" s="5"/>
      <c r="Q183" s="3"/>
      <c r="R183" s="84"/>
      <c r="S183" s="84"/>
      <c r="T183" s="84"/>
      <c r="U183" s="2"/>
      <c r="V183" s="60"/>
    </row>
    <row r="184" spans="1:22" ht="20.100000000000001" customHeight="1" x14ac:dyDescent="0.25">
      <c r="A184" s="2"/>
      <c r="B184" s="2"/>
      <c r="C184" s="2"/>
      <c r="D184" s="5"/>
      <c r="E184" s="5"/>
      <c r="F184" s="5"/>
      <c r="G184" s="2"/>
      <c r="H184" s="5"/>
      <c r="I184" s="5"/>
      <c r="J184" s="2"/>
      <c r="K184" s="2"/>
      <c r="L184" s="2"/>
      <c r="M184" s="79"/>
      <c r="N184" s="2"/>
      <c r="O184" s="2"/>
      <c r="P184" s="5"/>
      <c r="Q184" s="3"/>
      <c r="R184" s="84"/>
      <c r="S184" s="84"/>
      <c r="T184" s="84"/>
      <c r="U184" s="2"/>
      <c r="V184" s="60"/>
    </row>
    <row r="185" spans="1:22" ht="20.100000000000001" customHeight="1" x14ac:dyDescent="0.25">
      <c r="A185" s="2"/>
      <c r="B185" s="2"/>
      <c r="C185" s="2"/>
      <c r="D185" s="5"/>
      <c r="E185" s="5"/>
      <c r="F185" s="5"/>
      <c r="G185" s="2"/>
      <c r="H185" s="5"/>
      <c r="I185" s="5"/>
      <c r="J185" s="2"/>
      <c r="K185" s="2"/>
      <c r="L185" s="2"/>
      <c r="M185" s="79"/>
      <c r="N185" s="2"/>
      <c r="O185" s="2"/>
      <c r="P185" s="5"/>
      <c r="Q185" s="3"/>
      <c r="R185" s="84"/>
      <c r="S185" s="84"/>
      <c r="T185" s="84"/>
      <c r="U185" s="2"/>
      <c r="V185" s="60"/>
    </row>
    <row r="186" spans="1:22" ht="20.100000000000001" customHeight="1" x14ac:dyDescent="0.25">
      <c r="A186" s="2"/>
      <c r="B186" s="2"/>
      <c r="C186" s="2"/>
      <c r="D186" s="5"/>
      <c r="E186" s="5"/>
      <c r="F186" s="5"/>
      <c r="G186" s="2"/>
      <c r="H186" s="5"/>
      <c r="I186" s="5"/>
      <c r="J186" s="2"/>
      <c r="K186" s="2"/>
      <c r="L186" s="2"/>
      <c r="M186" s="79"/>
      <c r="N186" s="2"/>
      <c r="O186" s="2"/>
      <c r="P186" s="5"/>
      <c r="Q186" s="3"/>
      <c r="R186" s="84"/>
      <c r="S186" s="84"/>
      <c r="T186" s="84"/>
      <c r="U186" s="2"/>
      <c r="V186" s="60"/>
    </row>
    <row r="187" spans="1:22" ht="20.100000000000001" customHeight="1" x14ac:dyDescent="0.25">
      <c r="A187" s="2"/>
      <c r="B187" s="2"/>
      <c r="C187" s="2"/>
      <c r="D187" s="5"/>
      <c r="E187" s="5"/>
      <c r="F187" s="5"/>
      <c r="G187" s="2"/>
      <c r="H187" s="5"/>
      <c r="I187" s="5"/>
      <c r="J187" s="2"/>
      <c r="K187" s="2"/>
      <c r="L187" s="2"/>
      <c r="M187" s="79"/>
      <c r="N187" s="2"/>
      <c r="O187" s="2"/>
      <c r="P187" s="5"/>
      <c r="Q187" s="3"/>
      <c r="R187" s="84"/>
      <c r="S187" s="84"/>
      <c r="T187" s="84"/>
      <c r="U187" s="2"/>
      <c r="V187" s="60"/>
    </row>
    <row r="188" spans="1:22" ht="20.100000000000001" customHeight="1" x14ac:dyDescent="0.25">
      <c r="A188" s="2"/>
      <c r="B188" s="2"/>
      <c r="C188" s="2"/>
      <c r="D188" s="5"/>
      <c r="E188" s="5"/>
      <c r="F188" s="5"/>
      <c r="G188" s="2"/>
      <c r="H188" s="5"/>
      <c r="I188" s="5"/>
      <c r="J188" s="2"/>
      <c r="K188" s="2"/>
      <c r="L188" s="2"/>
      <c r="M188" s="79"/>
      <c r="N188" s="2"/>
      <c r="O188" s="2"/>
      <c r="P188" s="5"/>
      <c r="Q188" s="3"/>
      <c r="R188" s="84"/>
      <c r="S188" s="84"/>
      <c r="T188" s="84"/>
      <c r="U188" s="2"/>
      <c r="V188" s="60"/>
    </row>
    <row r="189" spans="1:22" ht="20.100000000000001" customHeight="1" x14ac:dyDescent="0.25">
      <c r="A189" s="2"/>
      <c r="B189" s="2"/>
      <c r="C189" s="2"/>
      <c r="D189" s="5"/>
      <c r="E189" s="5"/>
      <c r="F189" s="5"/>
      <c r="G189" s="2"/>
      <c r="H189" s="5"/>
      <c r="I189" s="5"/>
      <c r="J189" s="2"/>
      <c r="K189" s="2"/>
      <c r="L189" s="2"/>
      <c r="M189" s="79"/>
      <c r="N189" s="2"/>
      <c r="O189" s="2"/>
      <c r="P189" s="5"/>
      <c r="Q189" s="3"/>
      <c r="R189" s="84"/>
      <c r="S189" s="84"/>
      <c r="T189" s="84"/>
      <c r="U189" s="2"/>
      <c r="V189" s="60"/>
    </row>
    <row r="190" spans="1:22" ht="20.100000000000001" customHeight="1" x14ac:dyDescent="0.25">
      <c r="A190" s="2"/>
      <c r="B190" s="2"/>
      <c r="C190" s="2"/>
      <c r="D190" s="5"/>
      <c r="E190" s="5"/>
      <c r="F190" s="5"/>
      <c r="G190" s="2"/>
      <c r="H190" s="5"/>
      <c r="I190" s="5"/>
      <c r="J190" s="2"/>
      <c r="K190" s="2"/>
      <c r="L190" s="2"/>
      <c r="M190" s="79"/>
      <c r="N190" s="2"/>
      <c r="O190" s="2"/>
      <c r="P190" s="5"/>
      <c r="Q190" s="3"/>
      <c r="R190" s="84"/>
      <c r="S190" s="84"/>
      <c r="T190" s="84"/>
      <c r="U190" s="2"/>
      <c r="V190" s="60"/>
    </row>
    <row r="191" spans="1:22" ht="20.100000000000001" customHeight="1" x14ac:dyDescent="0.25">
      <c r="A191" s="2"/>
      <c r="B191" s="2"/>
      <c r="C191" s="2"/>
      <c r="D191" s="5"/>
      <c r="E191" s="5"/>
      <c r="F191" s="5"/>
      <c r="G191" s="2"/>
      <c r="H191" s="5"/>
      <c r="I191" s="5"/>
      <c r="J191" s="2"/>
      <c r="K191" s="2"/>
      <c r="L191" s="2"/>
      <c r="M191" s="79"/>
      <c r="N191" s="2"/>
      <c r="O191" s="2"/>
      <c r="P191" s="5"/>
      <c r="Q191" s="3"/>
      <c r="R191" s="84"/>
      <c r="S191" s="84"/>
      <c r="T191" s="84"/>
      <c r="U191" s="2"/>
      <c r="V191" s="60"/>
    </row>
    <row r="192" spans="1:22" ht="20.100000000000001" customHeight="1" x14ac:dyDescent="0.25">
      <c r="A192" s="2"/>
      <c r="B192" s="2"/>
      <c r="C192" s="2"/>
      <c r="D192" s="5"/>
      <c r="E192" s="5"/>
      <c r="F192" s="5"/>
      <c r="G192" s="2"/>
      <c r="H192" s="5"/>
      <c r="I192" s="5"/>
      <c r="J192" s="2"/>
      <c r="K192" s="2"/>
      <c r="L192" s="2"/>
      <c r="M192" s="79"/>
      <c r="N192" s="2"/>
      <c r="O192" s="2"/>
      <c r="P192" s="5"/>
      <c r="Q192" s="3"/>
      <c r="R192" s="84"/>
      <c r="S192" s="84"/>
      <c r="T192" s="84"/>
      <c r="U192" s="2"/>
      <c r="V192" s="60"/>
    </row>
    <row r="193" spans="1:22" ht="20.100000000000001" customHeight="1" x14ac:dyDescent="0.25">
      <c r="A193" s="2"/>
      <c r="B193" s="2"/>
      <c r="C193" s="2"/>
      <c r="D193" s="5"/>
      <c r="E193" s="5"/>
      <c r="F193" s="5"/>
      <c r="G193" s="2"/>
      <c r="H193" s="5"/>
      <c r="I193" s="5"/>
      <c r="J193" s="2"/>
      <c r="K193" s="2"/>
      <c r="L193" s="2"/>
      <c r="M193" s="79"/>
      <c r="N193" s="2"/>
      <c r="O193" s="2"/>
      <c r="P193" s="5"/>
      <c r="Q193" s="3"/>
      <c r="R193" s="84"/>
      <c r="S193" s="84"/>
      <c r="T193" s="84"/>
      <c r="U193" s="2"/>
      <c r="V193" s="60"/>
    </row>
    <row r="194" spans="1:22" ht="20.100000000000001" customHeight="1" x14ac:dyDescent="0.25">
      <c r="A194" s="2"/>
      <c r="B194" s="2"/>
      <c r="C194" s="2"/>
      <c r="D194" s="5"/>
      <c r="E194" s="5"/>
      <c r="F194" s="5"/>
      <c r="G194" s="2"/>
      <c r="H194" s="5"/>
      <c r="I194" s="5"/>
      <c r="J194" s="2"/>
      <c r="K194" s="2"/>
      <c r="L194" s="2"/>
      <c r="M194" s="79"/>
      <c r="N194" s="2"/>
      <c r="O194" s="2"/>
      <c r="P194" s="5"/>
      <c r="Q194" s="3"/>
      <c r="R194" s="84"/>
      <c r="S194" s="84"/>
      <c r="T194" s="84"/>
      <c r="U194" s="2"/>
      <c r="V194" s="60"/>
    </row>
    <row r="195" spans="1:22" ht="20.100000000000001" customHeight="1" x14ac:dyDescent="0.25">
      <c r="A195" s="2"/>
      <c r="B195" s="2"/>
      <c r="C195" s="2"/>
      <c r="D195" s="5"/>
      <c r="E195" s="5"/>
      <c r="F195" s="5"/>
      <c r="G195" s="2"/>
      <c r="H195" s="5"/>
      <c r="I195" s="5"/>
      <c r="J195" s="2"/>
      <c r="K195" s="2"/>
      <c r="L195" s="2"/>
      <c r="M195" s="79"/>
      <c r="N195" s="2"/>
      <c r="O195" s="2"/>
      <c r="P195" s="5"/>
      <c r="Q195" s="3"/>
      <c r="R195" s="84"/>
      <c r="S195" s="84"/>
      <c r="T195" s="84"/>
      <c r="U195" s="2"/>
      <c r="V195" s="60"/>
    </row>
    <row r="196" spans="1:22" ht="20.100000000000001" customHeight="1" x14ac:dyDescent="0.25">
      <c r="A196" s="2"/>
      <c r="B196" s="2"/>
      <c r="C196" s="2"/>
      <c r="D196" s="5"/>
      <c r="E196" s="5"/>
      <c r="F196" s="5"/>
      <c r="G196" s="2"/>
      <c r="H196" s="5"/>
      <c r="I196" s="5"/>
      <c r="J196" s="2"/>
      <c r="K196" s="2"/>
      <c r="L196" s="2"/>
      <c r="M196" s="79"/>
      <c r="N196" s="2"/>
      <c r="O196" s="2"/>
      <c r="P196" s="5"/>
      <c r="Q196" s="3"/>
      <c r="R196" s="84"/>
      <c r="S196" s="84"/>
      <c r="T196" s="84"/>
      <c r="U196" s="2"/>
      <c r="V196" s="60"/>
    </row>
    <row r="197" spans="1:22" ht="20.100000000000001" customHeight="1" x14ac:dyDescent="0.25">
      <c r="A197" s="2"/>
      <c r="B197" s="2"/>
      <c r="C197" s="2"/>
      <c r="D197" s="5"/>
      <c r="E197" s="5"/>
      <c r="F197" s="5"/>
      <c r="G197" s="2"/>
      <c r="H197" s="5"/>
      <c r="I197" s="5"/>
      <c r="J197" s="2"/>
      <c r="K197" s="2"/>
      <c r="L197" s="2"/>
      <c r="M197" s="79"/>
      <c r="N197" s="2"/>
      <c r="O197" s="2"/>
      <c r="P197" s="5"/>
      <c r="Q197" s="3"/>
      <c r="R197" s="84"/>
      <c r="S197" s="84"/>
      <c r="T197" s="84"/>
      <c r="U197" s="2"/>
      <c r="V197" s="60"/>
    </row>
    <row r="198" spans="1:22" ht="20.100000000000001" customHeight="1" x14ac:dyDescent="0.25">
      <c r="A198" s="2"/>
      <c r="B198" s="2"/>
      <c r="C198" s="2"/>
      <c r="D198" s="5"/>
      <c r="E198" s="5"/>
      <c r="F198" s="5"/>
      <c r="G198" s="2"/>
      <c r="H198" s="5"/>
      <c r="I198" s="5"/>
      <c r="J198" s="2"/>
      <c r="K198" s="2"/>
      <c r="L198" s="2"/>
      <c r="M198" s="79"/>
      <c r="N198" s="2"/>
      <c r="O198" s="2"/>
      <c r="P198" s="5"/>
      <c r="Q198" s="3"/>
      <c r="R198" s="84"/>
      <c r="S198" s="84"/>
      <c r="T198" s="84"/>
      <c r="U198" s="2"/>
      <c r="V198" s="60"/>
    </row>
    <row r="199" spans="1:22" ht="20.100000000000001" customHeight="1" x14ac:dyDescent="0.25">
      <c r="A199" s="2"/>
      <c r="B199" s="2"/>
      <c r="C199" s="2"/>
      <c r="D199" s="5"/>
      <c r="E199" s="5"/>
      <c r="F199" s="5"/>
      <c r="G199" s="2"/>
      <c r="H199" s="5"/>
      <c r="I199" s="5"/>
      <c r="J199" s="2"/>
      <c r="K199" s="2"/>
      <c r="L199" s="2"/>
      <c r="M199" s="79"/>
      <c r="N199" s="2"/>
      <c r="O199" s="2"/>
      <c r="P199" s="5"/>
      <c r="Q199" s="3"/>
      <c r="R199" s="84"/>
      <c r="S199" s="84"/>
      <c r="T199" s="84"/>
      <c r="U199" s="2"/>
      <c r="V199" s="60"/>
    </row>
    <row r="200" spans="1:22" ht="20.100000000000001" customHeight="1" x14ac:dyDescent="0.25">
      <c r="A200" s="2"/>
      <c r="B200" s="2"/>
      <c r="C200" s="2"/>
      <c r="D200" s="5"/>
      <c r="E200" s="5"/>
      <c r="F200" s="5"/>
      <c r="G200" s="2"/>
      <c r="H200" s="5"/>
      <c r="I200" s="5"/>
      <c r="J200" s="2"/>
      <c r="K200" s="2"/>
      <c r="L200" s="2"/>
      <c r="M200" s="79"/>
      <c r="N200" s="2"/>
      <c r="O200" s="2"/>
      <c r="P200" s="5"/>
      <c r="Q200" s="3"/>
      <c r="R200" s="84"/>
      <c r="S200" s="84"/>
      <c r="T200" s="84"/>
      <c r="U200" s="2"/>
      <c r="V200" s="60"/>
    </row>
    <row r="201" spans="1:22" ht="20.100000000000001" customHeight="1" x14ac:dyDescent="0.25">
      <c r="A201" s="2"/>
      <c r="B201" s="2"/>
      <c r="C201" s="2"/>
      <c r="D201" s="5"/>
      <c r="E201" s="5"/>
      <c r="F201" s="5"/>
      <c r="G201" s="2"/>
      <c r="H201" s="5"/>
      <c r="I201" s="5"/>
      <c r="J201" s="2"/>
      <c r="K201" s="2"/>
      <c r="L201" s="2"/>
      <c r="M201" s="79"/>
      <c r="N201" s="2"/>
      <c r="O201" s="2"/>
      <c r="P201" s="5"/>
      <c r="Q201" s="3"/>
      <c r="R201" s="84"/>
      <c r="S201" s="84"/>
      <c r="T201" s="84"/>
      <c r="U201" s="2"/>
      <c r="V201" s="60"/>
    </row>
    <row r="202" spans="1:22" ht="20.100000000000001" customHeight="1" x14ac:dyDescent="0.25">
      <c r="A202" s="2"/>
      <c r="B202" s="2"/>
      <c r="C202" s="2"/>
      <c r="D202" s="5"/>
      <c r="E202" s="5"/>
      <c r="F202" s="5"/>
      <c r="G202" s="2"/>
      <c r="H202" s="5"/>
      <c r="I202" s="5"/>
      <c r="J202" s="2"/>
      <c r="K202" s="2"/>
      <c r="L202" s="2"/>
      <c r="M202" s="79"/>
      <c r="N202" s="2"/>
      <c r="O202" s="2"/>
      <c r="P202" s="5"/>
      <c r="Q202" s="3"/>
      <c r="R202" s="84"/>
      <c r="S202" s="84"/>
      <c r="T202" s="84"/>
      <c r="U202" s="2"/>
      <c r="V202" s="60"/>
    </row>
    <row r="203" spans="1:22" ht="20.100000000000001" customHeight="1" x14ac:dyDescent="0.25">
      <c r="A203" s="2"/>
      <c r="B203" s="2"/>
      <c r="C203" s="2"/>
      <c r="D203" s="5"/>
      <c r="E203" s="5"/>
      <c r="F203" s="5"/>
      <c r="G203" s="2"/>
      <c r="H203" s="5"/>
      <c r="I203" s="5"/>
      <c r="J203" s="2"/>
      <c r="K203" s="2"/>
      <c r="L203" s="2"/>
      <c r="M203" s="79"/>
      <c r="N203" s="2"/>
      <c r="O203" s="2"/>
      <c r="P203" s="5"/>
      <c r="Q203" s="3"/>
      <c r="R203" s="84"/>
      <c r="S203" s="84"/>
      <c r="T203" s="84"/>
      <c r="U203" s="2"/>
      <c r="V203" s="60"/>
    </row>
    <row r="204" spans="1:22" ht="20.100000000000001" customHeight="1" x14ac:dyDescent="0.25">
      <c r="A204" s="2"/>
      <c r="B204" s="2"/>
      <c r="C204" s="2"/>
      <c r="D204" s="5"/>
      <c r="E204" s="5"/>
      <c r="F204" s="5"/>
      <c r="G204" s="2"/>
      <c r="H204" s="5"/>
      <c r="I204" s="5"/>
      <c r="J204" s="2"/>
      <c r="K204" s="2"/>
      <c r="L204" s="2"/>
      <c r="M204" s="79"/>
      <c r="N204" s="2"/>
      <c r="O204" s="2"/>
      <c r="P204" s="5"/>
      <c r="Q204" s="3"/>
      <c r="R204" s="84"/>
      <c r="S204" s="84"/>
      <c r="T204" s="84"/>
      <c r="U204" s="2"/>
      <c r="V204" s="60"/>
    </row>
    <row r="205" spans="1:22" ht="20.100000000000001" customHeight="1" x14ac:dyDescent="0.25">
      <c r="A205" s="2"/>
      <c r="B205" s="2"/>
      <c r="C205" s="2"/>
      <c r="D205" s="5"/>
      <c r="E205" s="5"/>
      <c r="F205" s="5"/>
      <c r="G205" s="2"/>
      <c r="H205" s="5"/>
      <c r="I205" s="5"/>
      <c r="J205" s="2"/>
      <c r="K205" s="2"/>
      <c r="L205" s="2"/>
      <c r="M205" s="79"/>
      <c r="N205" s="2"/>
      <c r="O205" s="2"/>
      <c r="P205" s="5"/>
      <c r="Q205" s="3"/>
      <c r="R205" s="84"/>
      <c r="S205" s="84"/>
      <c r="T205" s="84"/>
      <c r="U205" s="2"/>
      <c r="V205" s="60"/>
    </row>
    <row r="206" spans="1:22" ht="20.100000000000001" customHeight="1" x14ac:dyDescent="0.25">
      <c r="A206" s="2"/>
      <c r="B206" s="2"/>
      <c r="C206" s="2"/>
      <c r="D206" s="5"/>
      <c r="E206" s="5"/>
      <c r="F206" s="5"/>
      <c r="G206" s="2"/>
      <c r="H206" s="5"/>
      <c r="I206" s="5"/>
      <c r="J206" s="2"/>
      <c r="K206" s="2"/>
      <c r="L206" s="2"/>
      <c r="M206" s="79"/>
      <c r="N206" s="2"/>
      <c r="O206" s="2"/>
      <c r="P206" s="5"/>
      <c r="Q206" s="3"/>
      <c r="R206" s="84"/>
      <c r="S206" s="84"/>
      <c r="T206" s="84"/>
      <c r="U206" s="2"/>
      <c r="V206" s="60"/>
    </row>
    <row r="207" spans="1:22" ht="20.100000000000001" customHeight="1" x14ac:dyDescent="0.25">
      <c r="A207" s="2"/>
      <c r="B207" s="2"/>
      <c r="C207" s="2"/>
      <c r="D207" s="5"/>
      <c r="E207" s="5"/>
      <c r="F207" s="5"/>
      <c r="G207" s="2"/>
      <c r="H207" s="5"/>
      <c r="I207" s="5"/>
      <c r="J207" s="2"/>
      <c r="K207" s="2"/>
      <c r="L207" s="2"/>
      <c r="M207" s="79"/>
      <c r="N207" s="2"/>
      <c r="O207" s="2"/>
      <c r="P207" s="5"/>
      <c r="Q207" s="3"/>
      <c r="R207" s="84"/>
      <c r="S207" s="84"/>
      <c r="T207" s="84"/>
      <c r="U207" s="2"/>
      <c r="V207" s="60"/>
    </row>
    <row r="208" spans="1:22" ht="20.100000000000001" customHeight="1" x14ac:dyDescent="0.25">
      <c r="A208" s="2"/>
      <c r="B208" s="2"/>
      <c r="C208" s="2"/>
      <c r="D208" s="5"/>
      <c r="E208" s="5"/>
      <c r="F208" s="5"/>
      <c r="G208" s="2"/>
      <c r="H208" s="5"/>
      <c r="I208" s="5"/>
      <c r="J208" s="2"/>
      <c r="K208" s="2"/>
      <c r="L208" s="2"/>
      <c r="M208" s="79"/>
      <c r="N208" s="2"/>
      <c r="O208" s="2"/>
      <c r="P208" s="5"/>
      <c r="Q208" s="3"/>
      <c r="R208" s="84"/>
      <c r="S208" s="84"/>
      <c r="T208" s="84"/>
      <c r="U208" s="2"/>
      <c r="V208" s="60"/>
    </row>
    <row r="209" spans="1:22" ht="20.100000000000001" customHeight="1" x14ac:dyDescent="0.25">
      <c r="A209" s="2"/>
      <c r="B209" s="2"/>
      <c r="C209" s="2"/>
      <c r="D209" s="5"/>
      <c r="E209" s="5"/>
      <c r="F209" s="5"/>
      <c r="G209" s="2"/>
      <c r="H209" s="5"/>
      <c r="I209" s="5"/>
      <c r="J209" s="2"/>
      <c r="K209" s="2"/>
      <c r="L209" s="2"/>
      <c r="M209" s="79"/>
      <c r="N209" s="2"/>
      <c r="O209" s="2"/>
      <c r="P209" s="5"/>
      <c r="Q209" s="3"/>
      <c r="R209" s="84"/>
      <c r="S209" s="84"/>
      <c r="T209" s="84"/>
      <c r="U209" s="2"/>
      <c r="V209" s="60"/>
    </row>
    <row r="210" spans="1:22" ht="20.100000000000001" customHeight="1" x14ac:dyDescent="0.25">
      <c r="A210" s="2"/>
      <c r="B210" s="2"/>
      <c r="C210" s="2"/>
      <c r="D210" s="5"/>
      <c r="E210" s="5"/>
      <c r="F210" s="5"/>
      <c r="G210" s="2"/>
      <c r="H210" s="5"/>
      <c r="I210" s="5"/>
      <c r="J210" s="2"/>
      <c r="K210" s="2"/>
      <c r="L210" s="2"/>
      <c r="M210" s="79"/>
      <c r="N210" s="2"/>
      <c r="O210" s="2"/>
      <c r="P210" s="5"/>
      <c r="Q210" s="3"/>
      <c r="R210" s="84"/>
      <c r="S210" s="84"/>
      <c r="T210" s="84"/>
      <c r="U210" s="2"/>
      <c r="V210" s="60"/>
    </row>
    <row r="211" spans="1:22" ht="20.100000000000001" customHeight="1" x14ac:dyDescent="0.25">
      <c r="A211" s="2"/>
      <c r="B211" s="2"/>
      <c r="C211" s="2"/>
      <c r="D211" s="5"/>
      <c r="E211" s="5"/>
      <c r="F211" s="5"/>
      <c r="G211" s="2"/>
      <c r="H211" s="5"/>
      <c r="I211" s="5"/>
      <c r="J211" s="2"/>
      <c r="K211" s="2"/>
      <c r="L211" s="2"/>
      <c r="M211" s="79"/>
      <c r="N211" s="2"/>
      <c r="O211" s="2"/>
      <c r="P211" s="5"/>
      <c r="Q211" s="3"/>
      <c r="R211" s="84"/>
      <c r="S211" s="84"/>
      <c r="T211" s="84"/>
      <c r="U211" s="2"/>
      <c r="V211" s="60"/>
    </row>
    <row r="212" spans="1:22" ht="20.100000000000001" customHeight="1" x14ac:dyDescent="0.25">
      <c r="A212" s="2"/>
      <c r="B212" s="2"/>
      <c r="C212" s="2"/>
      <c r="D212" s="5"/>
      <c r="E212" s="5"/>
      <c r="F212" s="5"/>
      <c r="G212" s="2"/>
      <c r="H212" s="5"/>
      <c r="I212" s="5"/>
      <c r="J212" s="2"/>
      <c r="K212" s="2"/>
      <c r="L212" s="2"/>
      <c r="M212" s="79"/>
      <c r="N212" s="2"/>
      <c r="O212" s="2"/>
      <c r="P212" s="5"/>
      <c r="Q212" s="3"/>
      <c r="R212" s="84"/>
      <c r="S212" s="84"/>
      <c r="T212" s="84"/>
      <c r="U212" s="2"/>
      <c r="V212" s="60"/>
    </row>
    <row r="213" spans="1:22" ht="20.100000000000001" customHeight="1" x14ac:dyDescent="0.25">
      <c r="A213" s="2"/>
      <c r="B213" s="2"/>
      <c r="C213" s="2"/>
      <c r="D213" s="5"/>
      <c r="E213" s="5"/>
      <c r="F213" s="5"/>
      <c r="G213" s="2"/>
      <c r="H213" s="5"/>
      <c r="I213" s="5"/>
      <c r="J213" s="2"/>
      <c r="K213" s="2"/>
      <c r="L213" s="2"/>
      <c r="M213" s="79"/>
      <c r="N213" s="2"/>
      <c r="O213" s="2"/>
      <c r="P213" s="5"/>
      <c r="Q213" s="3"/>
      <c r="R213" s="84"/>
      <c r="S213" s="84"/>
      <c r="T213" s="84"/>
      <c r="U213" s="2"/>
      <c r="V213" s="60"/>
    </row>
    <row r="214" spans="1:22" ht="20.100000000000001" customHeight="1" x14ac:dyDescent="0.25">
      <c r="A214" s="2"/>
      <c r="B214" s="2"/>
      <c r="C214" s="2"/>
      <c r="D214" s="5"/>
      <c r="E214" s="5"/>
      <c r="F214" s="5"/>
      <c r="G214" s="2"/>
      <c r="H214" s="5"/>
      <c r="I214" s="5"/>
      <c r="J214" s="2"/>
      <c r="K214" s="2"/>
      <c r="L214" s="2"/>
      <c r="M214" s="79"/>
      <c r="N214" s="2"/>
      <c r="O214" s="2"/>
      <c r="P214" s="5"/>
      <c r="Q214" s="3"/>
      <c r="R214" s="84"/>
      <c r="S214" s="84"/>
      <c r="T214" s="84"/>
      <c r="U214" s="2"/>
      <c r="V214" s="60"/>
    </row>
    <row r="215" spans="1:22" ht="20.100000000000001" customHeight="1" x14ac:dyDescent="0.25">
      <c r="A215" s="2"/>
      <c r="B215" s="2"/>
      <c r="C215" s="2"/>
      <c r="D215" s="5"/>
      <c r="E215" s="5"/>
      <c r="F215" s="5"/>
      <c r="G215" s="2"/>
      <c r="H215" s="5"/>
      <c r="I215" s="5"/>
      <c r="J215" s="2"/>
      <c r="K215" s="2"/>
      <c r="L215" s="2"/>
      <c r="M215" s="79"/>
      <c r="N215" s="2"/>
      <c r="O215" s="2"/>
      <c r="P215" s="5"/>
      <c r="Q215" s="3"/>
      <c r="R215" s="84"/>
      <c r="S215" s="84"/>
      <c r="T215" s="84"/>
      <c r="U215" s="2"/>
      <c r="V215" s="60"/>
    </row>
    <row r="216" spans="1:22" ht="20.100000000000001" customHeight="1" x14ac:dyDescent="0.25">
      <c r="A216" s="2"/>
      <c r="B216" s="2"/>
      <c r="C216" s="2"/>
      <c r="D216" s="5"/>
      <c r="E216" s="5"/>
      <c r="F216" s="5"/>
      <c r="G216" s="2"/>
      <c r="H216" s="5"/>
      <c r="I216" s="5"/>
      <c r="J216" s="2"/>
      <c r="K216" s="2"/>
      <c r="L216" s="2"/>
      <c r="M216" s="79"/>
      <c r="N216" s="2"/>
      <c r="O216" s="2"/>
      <c r="P216" s="5"/>
      <c r="Q216" s="3"/>
      <c r="R216" s="84"/>
      <c r="S216" s="84"/>
      <c r="T216" s="84"/>
      <c r="U216" s="2"/>
      <c r="V216" s="60"/>
    </row>
    <row r="217" spans="1:22" ht="20.100000000000001" customHeight="1" x14ac:dyDescent="0.25">
      <c r="A217" s="2"/>
      <c r="B217" s="2"/>
      <c r="C217" s="2"/>
      <c r="D217" s="5"/>
      <c r="E217" s="5"/>
      <c r="F217" s="5"/>
      <c r="G217" s="2"/>
      <c r="H217" s="5"/>
      <c r="I217" s="5"/>
      <c r="J217" s="2"/>
      <c r="K217" s="2"/>
      <c r="L217" s="2"/>
      <c r="M217" s="79"/>
      <c r="N217" s="2"/>
      <c r="O217" s="2"/>
      <c r="P217" s="5"/>
      <c r="Q217" s="3"/>
      <c r="R217" s="84"/>
      <c r="S217" s="84"/>
      <c r="T217" s="84"/>
      <c r="U217" s="2"/>
      <c r="V217" s="60"/>
    </row>
    <row r="218" spans="1:22" ht="20.100000000000001" customHeight="1" x14ac:dyDescent="0.25">
      <c r="A218" s="2"/>
      <c r="B218" s="2"/>
      <c r="C218" s="2"/>
      <c r="D218" s="5"/>
      <c r="E218" s="5"/>
      <c r="F218" s="5"/>
      <c r="G218" s="2"/>
      <c r="H218" s="5"/>
      <c r="I218" s="5"/>
      <c r="J218" s="2"/>
      <c r="K218" s="2"/>
      <c r="L218" s="2"/>
      <c r="M218" s="79"/>
      <c r="N218" s="2"/>
      <c r="O218" s="2"/>
      <c r="P218" s="5"/>
      <c r="Q218" s="3"/>
      <c r="R218" s="84"/>
      <c r="S218" s="84"/>
      <c r="T218" s="84"/>
      <c r="U218" s="2"/>
      <c r="V218" s="60"/>
    </row>
    <row r="219" spans="1:22" ht="20.100000000000001" customHeight="1" x14ac:dyDescent="0.25">
      <c r="A219" s="2"/>
      <c r="B219" s="2"/>
      <c r="C219" s="2"/>
      <c r="D219" s="5"/>
      <c r="E219" s="5"/>
      <c r="F219" s="5"/>
      <c r="G219" s="2"/>
      <c r="H219" s="5"/>
      <c r="I219" s="5"/>
      <c r="J219" s="2"/>
      <c r="K219" s="2"/>
      <c r="L219" s="2"/>
      <c r="M219" s="79"/>
      <c r="N219" s="2"/>
      <c r="O219" s="2"/>
      <c r="P219" s="5"/>
      <c r="Q219" s="3"/>
      <c r="R219" s="84"/>
      <c r="S219" s="84"/>
      <c r="T219" s="84"/>
      <c r="U219" s="2"/>
      <c r="V219" s="60"/>
    </row>
    <row r="220" spans="1:22" ht="20.100000000000001" customHeight="1" x14ac:dyDescent="0.25">
      <c r="A220" s="2"/>
      <c r="B220" s="2"/>
      <c r="C220" s="2"/>
      <c r="D220" s="5"/>
      <c r="E220" s="5"/>
      <c r="F220" s="5"/>
      <c r="G220" s="2"/>
      <c r="H220" s="5"/>
      <c r="I220" s="5"/>
      <c r="J220" s="2"/>
      <c r="K220" s="2"/>
      <c r="L220" s="2"/>
      <c r="M220" s="79"/>
      <c r="N220" s="2"/>
      <c r="O220" s="2"/>
      <c r="P220" s="5"/>
      <c r="Q220" s="3"/>
      <c r="R220" s="84"/>
      <c r="S220" s="84"/>
      <c r="T220" s="84"/>
      <c r="U220" s="2"/>
      <c r="V220" s="60"/>
    </row>
    <row r="221" spans="1:22" ht="20.100000000000001" customHeight="1" x14ac:dyDescent="0.25">
      <c r="A221" s="2"/>
      <c r="B221" s="2"/>
      <c r="C221" s="2"/>
      <c r="D221" s="5"/>
      <c r="E221" s="5"/>
      <c r="F221" s="5"/>
      <c r="G221" s="2"/>
      <c r="H221" s="5"/>
      <c r="I221" s="5"/>
      <c r="J221" s="2"/>
      <c r="K221" s="2"/>
      <c r="L221" s="2"/>
      <c r="M221" s="79"/>
      <c r="N221" s="2"/>
      <c r="O221" s="2"/>
      <c r="P221" s="5"/>
      <c r="Q221" s="3"/>
      <c r="R221" s="84"/>
      <c r="S221" s="84"/>
      <c r="T221" s="84"/>
      <c r="U221" s="2"/>
      <c r="V221" s="60"/>
    </row>
    <row r="222" spans="1:22" ht="20.100000000000001" customHeight="1" x14ac:dyDescent="0.25">
      <c r="A222" s="2"/>
      <c r="B222" s="2"/>
      <c r="C222" s="2"/>
      <c r="D222" s="5"/>
      <c r="E222" s="5"/>
      <c r="F222" s="5"/>
      <c r="G222" s="2"/>
      <c r="H222" s="5"/>
      <c r="I222" s="5"/>
      <c r="J222" s="2"/>
      <c r="K222" s="2"/>
      <c r="L222" s="2"/>
      <c r="M222" s="79"/>
      <c r="N222" s="2"/>
      <c r="O222" s="2"/>
      <c r="P222" s="5"/>
      <c r="Q222" s="3"/>
      <c r="R222" s="84"/>
      <c r="S222" s="84"/>
      <c r="T222" s="84"/>
      <c r="U222" s="2"/>
      <c r="V222" s="60"/>
    </row>
    <row r="223" spans="1:22" ht="20.100000000000001" customHeight="1" x14ac:dyDescent="0.25">
      <c r="A223" s="2"/>
      <c r="B223" s="2"/>
      <c r="C223" s="2"/>
      <c r="D223" s="5"/>
      <c r="E223" s="5"/>
      <c r="F223" s="5"/>
      <c r="G223" s="2"/>
      <c r="H223" s="5"/>
      <c r="I223" s="5"/>
      <c r="J223" s="2"/>
      <c r="K223" s="2"/>
      <c r="L223" s="2"/>
      <c r="M223" s="79"/>
      <c r="N223" s="2"/>
      <c r="O223" s="2"/>
      <c r="P223" s="5"/>
      <c r="Q223" s="3"/>
      <c r="R223" s="84"/>
      <c r="S223" s="84"/>
      <c r="T223" s="84"/>
      <c r="U223" s="2"/>
      <c r="V223" s="60"/>
    </row>
    <row r="224" spans="1:22" ht="20.100000000000001" customHeight="1" x14ac:dyDescent="0.25">
      <c r="A224" s="2"/>
      <c r="B224" s="2"/>
      <c r="C224" s="2"/>
      <c r="D224" s="5"/>
      <c r="E224" s="5"/>
      <c r="F224" s="5"/>
      <c r="G224" s="2"/>
      <c r="H224" s="5"/>
      <c r="I224" s="5"/>
      <c r="J224" s="2"/>
      <c r="K224" s="2"/>
      <c r="L224" s="2"/>
      <c r="M224" s="79"/>
      <c r="N224" s="2"/>
      <c r="O224" s="2"/>
      <c r="P224" s="5"/>
      <c r="Q224" s="3"/>
      <c r="R224" s="84"/>
      <c r="S224" s="84"/>
      <c r="T224" s="84"/>
      <c r="U224" s="2"/>
      <c r="V224" s="60"/>
    </row>
    <row r="225" spans="1:22" ht="20.100000000000001" customHeight="1" x14ac:dyDescent="0.25">
      <c r="A225" s="2"/>
      <c r="B225" s="2"/>
      <c r="C225" s="2"/>
      <c r="D225" s="5"/>
      <c r="E225" s="5"/>
      <c r="F225" s="5"/>
      <c r="G225" s="2"/>
      <c r="H225" s="5"/>
      <c r="I225" s="5"/>
      <c r="J225" s="2"/>
      <c r="K225" s="2"/>
      <c r="L225" s="2"/>
      <c r="M225" s="79"/>
      <c r="N225" s="2"/>
      <c r="O225" s="2"/>
      <c r="P225" s="5"/>
      <c r="Q225" s="3"/>
      <c r="R225" s="84"/>
      <c r="S225" s="84"/>
      <c r="T225" s="84"/>
      <c r="U225" s="2"/>
      <c r="V225" s="60"/>
    </row>
    <row r="226" spans="1:22" ht="20.100000000000001" customHeight="1" x14ac:dyDescent="0.25">
      <c r="A226" s="2"/>
      <c r="B226" s="2"/>
      <c r="C226" s="2"/>
      <c r="D226" s="5"/>
      <c r="E226" s="5"/>
      <c r="F226" s="5"/>
      <c r="G226" s="2"/>
      <c r="H226" s="5"/>
      <c r="I226" s="5"/>
      <c r="J226" s="2"/>
      <c r="K226" s="2"/>
      <c r="L226" s="2"/>
      <c r="M226" s="79"/>
      <c r="N226" s="2"/>
      <c r="O226" s="2"/>
      <c r="P226" s="5"/>
      <c r="Q226" s="3"/>
      <c r="R226" s="84"/>
      <c r="S226" s="84"/>
      <c r="T226" s="84"/>
      <c r="U226" s="2"/>
      <c r="V226" s="60"/>
    </row>
    <row r="227" spans="1:22" ht="20.100000000000001" customHeight="1" x14ac:dyDescent="0.25">
      <c r="A227" s="2"/>
      <c r="B227" s="2"/>
      <c r="C227" s="2"/>
      <c r="D227" s="5"/>
      <c r="E227" s="5"/>
      <c r="F227" s="5"/>
      <c r="G227" s="2"/>
      <c r="H227" s="5"/>
      <c r="I227" s="5"/>
      <c r="J227" s="2"/>
      <c r="K227" s="2"/>
      <c r="L227" s="2"/>
      <c r="M227" s="79"/>
      <c r="N227" s="2"/>
      <c r="O227" s="2"/>
      <c r="P227" s="5"/>
      <c r="Q227" s="3"/>
      <c r="R227" s="84"/>
      <c r="S227" s="84"/>
      <c r="T227" s="84"/>
      <c r="U227" s="2"/>
      <c r="V227" s="60"/>
    </row>
    <row r="228" spans="1:22" ht="20.100000000000001" customHeight="1" x14ac:dyDescent="0.25">
      <c r="A228" s="2"/>
      <c r="B228" s="2"/>
      <c r="C228" s="2"/>
      <c r="D228" s="5"/>
      <c r="E228" s="5"/>
      <c r="F228" s="5"/>
      <c r="G228" s="2"/>
      <c r="H228" s="5"/>
      <c r="I228" s="5"/>
      <c r="J228" s="2"/>
      <c r="K228" s="2"/>
      <c r="L228" s="2"/>
      <c r="M228" s="79"/>
      <c r="N228" s="2"/>
      <c r="O228" s="2"/>
      <c r="P228" s="5"/>
      <c r="Q228" s="3"/>
      <c r="R228" s="84"/>
      <c r="S228" s="84"/>
      <c r="T228" s="84"/>
      <c r="U228" s="2"/>
      <c r="V228" s="60"/>
    </row>
    <row r="229" spans="1:22" ht="20.100000000000001" customHeight="1" x14ac:dyDescent="0.25">
      <c r="A229" s="2"/>
      <c r="B229" s="2"/>
      <c r="C229" s="2"/>
      <c r="D229" s="5"/>
      <c r="E229" s="5"/>
      <c r="F229" s="5"/>
      <c r="G229" s="2"/>
      <c r="H229" s="5"/>
      <c r="I229" s="5"/>
      <c r="J229" s="2"/>
      <c r="K229" s="2"/>
      <c r="L229" s="2"/>
      <c r="M229" s="79"/>
      <c r="N229" s="2"/>
      <c r="O229" s="2"/>
      <c r="P229" s="5"/>
      <c r="Q229" s="3"/>
      <c r="R229" s="84"/>
      <c r="S229" s="84"/>
      <c r="T229" s="84"/>
      <c r="U229" s="2"/>
      <c r="V229" s="60"/>
    </row>
    <row r="230" spans="1:22" ht="20.100000000000001" customHeight="1" x14ac:dyDescent="0.25">
      <c r="A230" s="2"/>
      <c r="B230" s="2"/>
      <c r="C230" s="2"/>
      <c r="D230" s="5"/>
      <c r="E230" s="5"/>
      <c r="F230" s="5"/>
      <c r="G230" s="2"/>
      <c r="H230" s="5"/>
      <c r="I230" s="5"/>
      <c r="J230" s="2"/>
      <c r="K230" s="2"/>
      <c r="L230" s="2"/>
      <c r="M230" s="79"/>
      <c r="N230" s="2"/>
      <c r="O230" s="2"/>
      <c r="P230" s="5"/>
      <c r="Q230" s="3"/>
      <c r="R230" s="84"/>
      <c r="S230" s="84"/>
      <c r="T230" s="84"/>
      <c r="U230" s="2"/>
      <c r="V230" s="60"/>
    </row>
    <row r="231" spans="1:22" ht="20.100000000000001" customHeight="1" x14ac:dyDescent="0.25">
      <c r="A231" s="2"/>
      <c r="B231" s="2"/>
      <c r="C231" s="2"/>
      <c r="D231" s="5"/>
      <c r="E231" s="5"/>
      <c r="F231" s="5"/>
      <c r="G231" s="2"/>
      <c r="H231" s="5"/>
      <c r="I231" s="5"/>
      <c r="J231" s="2"/>
      <c r="K231" s="2"/>
      <c r="L231" s="2"/>
      <c r="M231" s="79"/>
      <c r="N231" s="2"/>
      <c r="O231" s="2"/>
      <c r="P231" s="5"/>
      <c r="Q231" s="3"/>
      <c r="R231" s="84"/>
      <c r="S231" s="84"/>
      <c r="T231" s="84"/>
      <c r="U231" s="2"/>
      <c r="V231" s="60"/>
    </row>
    <row r="232" spans="1:22" ht="20.100000000000001" customHeight="1" x14ac:dyDescent="0.25">
      <c r="A232" s="2"/>
      <c r="B232" s="2"/>
      <c r="C232" s="2"/>
      <c r="D232" s="5"/>
      <c r="E232" s="5"/>
      <c r="F232" s="5"/>
      <c r="G232" s="2"/>
      <c r="H232" s="5"/>
      <c r="I232" s="5"/>
      <c r="J232" s="2"/>
      <c r="K232" s="2"/>
      <c r="L232" s="2"/>
      <c r="M232" s="79"/>
      <c r="N232" s="2"/>
      <c r="O232" s="2"/>
      <c r="P232" s="5"/>
      <c r="Q232" s="3"/>
      <c r="R232" s="84"/>
      <c r="S232" s="84"/>
      <c r="T232" s="84"/>
      <c r="U232" s="2"/>
      <c r="V232" s="60"/>
    </row>
    <row r="233" spans="1:22" ht="20.100000000000001" customHeight="1" x14ac:dyDescent="0.25">
      <c r="A233" s="2"/>
      <c r="B233" s="2"/>
      <c r="C233" s="2"/>
      <c r="D233" s="5"/>
      <c r="E233" s="5"/>
      <c r="F233" s="5"/>
      <c r="G233" s="2"/>
      <c r="H233" s="5"/>
      <c r="I233" s="5"/>
      <c r="J233" s="2"/>
      <c r="K233" s="2"/>
      <c r="L233" s="2"/>
      <c r="M233" s="79"/>
      <c r="N233" s="2"/>
      <c r="O233" s="2"/>
      <c r="P233" s="5"/>
      <c r="Q233" s="3"/>
      <c r="R233" s="84"/>
      <c r="S233" s="84"/>
      <c r="T233" s="84"/>
      <c r="U233" s="2"/>
      <c r="V233" s="60"/>
    </row>
    <row r="234" spans="1:22" ht="20.100000000000001" customHeight="1" x14ac:dyDescent="0.25">
      <c r="A234" s="2"/>
      <c r="B234" s="2"/>
      <c r="C234" s="2"/>
      <c r="D234" s="5"/>
      <c r="E234" s="5"/>
      <c r="F234" s="5"/>
      <c r="G234" s="2"/>
      <c r="H234" s="5"/>
      <c r="I234" s="5"/>
      <c r="J234" s="2"/>
      <c r="K234" s="2"/>
      <c r="L234" s="2"/>
      <c r="M234" s="79"/>
      <c r="N234" s="2"/>
      <c r="O234" s="2"/>
      <c r="P234" s="5"/>
      <c r="Q234" s="3"/>
      <c r="R234" s="84"/>
      <c r="S234" s="84"/>
      <c r="T234" s="84"/>
      <c r="U234" s="2"/>
      <c r="V234" s="60"/>
    </row>
    <row r="235" spans="1:22" ht="20.100000000000001" customHeight="1" x14ac:dyDescent="0.25">
      <c r="A235" s="2"/>
      <c r="B235" s="2"/>
      <c r="C235" s="2"/>
      <c r="D235" s="5"/>
      <c r="E235" s="5"/>
      <c r="F235" s="5"/>
      <c r="G235" s="2"/>
      <c r="H235" s="5"/>
      <c r="I235" s="5"/>
      <c r="J235" s="2"/>
      <c r="K235" s="2"/>
      <c r="L235" s="2"/>
      <c r="M235" s="79"/>
      <c r="N235" s="2"/>
      <c r="O235" s="2"/>
      <c r="P235" s="5"/>
      <c r="Q235" s="3"/>
      <c r="R235" s="84"/>
      <c r="S235" s="84"/>
      <c r="T235" s="84"/>
      <c r="U235" s="2"/>
      <c r="V235" s="60"/>
    </row>
    <row r="236" spans="1:22" ht="20.100000000000001" customHeight="1" x14ac:dyDescent="0.25">
      <c r="A236" s="2"/>
      <c r="B236" s="2"/>
      <c r="C236" s="2"/>
      <c r="D236" s="5"/>
      <c r="E236" s="5"/>
      <c r="F236" s="5"/>
      <c r="G236" s="2"/>
      <c r="H236" s="5"/>
      <c r="I236" s="5"/>
      <c r="J236" s="2"/>
      <c r="K236" s="2"/>
      <c r="L236" s="2"/>
      <c r="M236" s="79"/>
      <c r="N236" s="2"/>
      <c r="O236" s="2"/>
      <c r="P236" s="5"/>
      <c r="Q236" s="3"/>
      <c r="R236" s="84"/>
      <c r="S236" s="84"/>
      <c r="T236" s="84"/>
      <c r="U236" s="2"/>
      <c r="V236" s="60"/>
    </row>
    <row r="237" spans="1:22" ht="20.100000000000001" customHeight="1" x14ac:dyDescent="0.25">
      <c r="A237" s="2"/>
      <c r="B237" s="2"/>
      <c r="C237" s="2"/>
      <c r="D237" s="5"/>
      <c r="E237" s="5"/>
      <c r="F237" s="5"/>
      <c r="G237" s="2"/>
      <c r="H237" s="5"/>
      <c r="I237" s="5"/>
      <c r="J237" s="2"/>
      <c r="K237" s="2"/>
      <c r="L237" s="2"/>
      <c r="M237" s="79"/>
      <c r="N237" s="2"/>
      <c r="O237" s="2"/>
      <c r="P237" s="5"/>
      <c r="Q237" s="3"/>
      <c r="R237" s="84"/>
      <c r="S237" s="84"/>
      <c r="T237" s="84"/>
      <c r="U237" s="2"/>
      <c r="V237" s="60"/>
    </row>
    <row r="238" spans="1:22" ht="20.100000000000001" customHeight="1" x14ac:dyDescent="0.25">
      <c r="A238" s="2"/>
      <c r="B238" s="2"/>
      <c r="C238" s="2"/>
      <c r="D238" s="5"/>
      <c r="E238" s="5"/>
      <c r="F238" s="5"/>
      <c r="G238" s="2"/>
      <c r="H238" s="5"/>
      <c r="I238" s="5"/>
      <c r="J238" s="2"/>
      <c r="K238" s="2"/>
      <c r="L238" s="2"/>
      <c r="M238" s="79"/>
      <c r="N238" s="2"/>
      <c r="O238" s="2"/>
      <c r="P238" s="5"/>
      <c r="Q238" s="3"/>
      <c r="R238" s="84"/>
      <c r="S238" s="84"/>
      <c r="T238" s="84"/>
      <c r="U238" s="2"/>
      <c r="V238" s="60"/>
    </row>
    <row r="239" spans="1:22" ht="20.100000000000001" customHeight="1" x14ac:dyDescent="0.25">
      <c r="A239" s="2"/>
      <c r="B239" s="2"/>
      <c r="C239" s="2"/>
      <c r="D239" s="5"/>
      <c r="E239" s="5"/>
      <c r="F239" s="5"/>
      <c r="G239" s="2"/>
      <c r="H239" s="5"/>
      <c r="I239" s="5"/>
      <c r="J239" s="2"/>
      <c r="K239" s="2"/>
      <c r="L239" s="2"/>
      <c r="M239" s="79"/>
      <c r="N239" s="2"/>
      <c r="O239" s="2"/>
      <c r="P239" s="5"/>
      <c r="Q239" s="3"/>
      <c r="R239" s="84"/>
      <c r="S239" s="84"/>
      <c r="T239" s="84"/>
      <c r="U239" s="2"/>
      <c r="V239" s="60"/>
    </row>
    <row r="240" spans="1:22" ht="20.100000000000001" customHeight="1" x14ac:dyDescent="0.25">
      <c r="A240" s="2"/>
      <c r="B240" s="2"/>
      <c r="C240" s="2"/>
      <c r="D240" s="5"/>
      <c r="E240" s="5"/>
      <c r="F240" s="5"/>
      <c r="G240" s="2"/>
      <c r="H240" s="5"/>
      <c r="I240" s="5"/>
      <c r="J240" s="2"/>
      <c r="K240" s="2"/>
      <c r="L240" s="2"/>
      <c r="M240" s="79"/>
      <c r="N240" s="2"/>
      <c r="O240" s="2"/>
      <c r="P240" s="5"/>
      <c r="Q240" s="3"/>
      <c r="R240" s="84"/>
      <c r="S240" s="84"/>
      <c r="T240" s="84"/>
      <c r="U240" s="2"/>
      <c r="V240" s="60"/>
    </row>
    <row r="241" spans="1:22" ht="20.100000000000001" customHeight="1" x14ac:dyDescent="0.25">
      <c r="A241" s="2"/>
      <c r="B241" s="2"/>
      <c r="C241" s="2"/>
      <c r="D241" s="5"/>
      <c r="E241" s="5"/>
      <c r="F241" s="5"/>
      <c r="G241" s="2"/>
      <c r="H241" s="5"/>
      <c r="I241" s="5"/>
      <c r="J241" s="2"/>
      <c r="K241" s="2"/>
      <c r="L241" s="2"/>
      <c r="M241" s="79"/>
      <c r="N241" s="2"/>
      <c r="O241" s="2"/>
      <c r="P241" s="5"/>
      <c r="Q241" s="3"/>
      <c r="R241" s="84"/>
      <c r="S241" s="84"/>
      <c r="T241" s="84"/>
      <c r="U241" s="2"/>
      <c r="V241" s="60"/>
    </row>
    <row r="242" spans="1:22" ht="20.100000000000001" customHeight="1" x14ac:dyDescent="0.25">
      <c r="A242" s="2"/>
      <c r="B242" s="2"/>
      <c r="C242" s="2"/>
      <c r="D242" s="5"/>
      <c r="E242" s="5"/>
      <c r="F242" s="5"/>
      <c r="G242" s="2"/>
      <c r="H242" s="5"/>
      <c r="I242" s="5"/>
      <c r="J242" s="2"/>
      <c r="K242" s="2"/>
      <c r="L242" s="2"/>
      <c r="M242" s="79"/>
      <c r="N242" s="2"/>
      <c r="O242" s="2"/>
      <c r="P242" s="5"/>
      <c r="Q242" s="3"/>
      <c r="R242" s="84"/>
      <c r="S242" s="84"/>
      <c r="T242" s="84"/>
      <c r="U242" s="2"/>
      <c r="V242" s="60"/>
    </row>
    <row r="243" spans="1:22" ht="20.100000000000001" customHeight="1" x14ac:dyDescent="0.25">
      <c r="A243" s="2"/>
      <c r="B243" s="2"/>
      <c r="C243" s="2"/>
      <c r="D243" s="5"/>
      <c r="E243" s="5"/>
      <c r="F243" s="5"/>
      <c r="G243" s="2"/>
      <c r="H243" s="5"/>
      <c r="I243" s="5"/>
      <c r="J243" s="2"/>
      <c r="K243" s="2"/>
      <c r="L243" s="2"/>
      <c r="M243" s="79"/>
      <c r="N243" s="2"/>
      <c r="O243" s="2"/>
      <c r="P243" s="5"/>
      <c r="Q243" s="3"/>
      <c r="R243" s="84"/>
      <c r="S243" s="84"/>
      <c r="T243" s="84"/>
      <c r="U243" s="2"/>
      <c r="V243" s="60"/>
    </row>
    <row r="244" spans="1:22" ht="20.100000000000001" customHeight="1" x14ac:dyDescent="0.25">
      <c r="A244" s="2"/>
      <c r="B244" s="2"/>
      <c r="C244" s="2"/>
      <c r="D244" s="5"/>
      <c r="E244" s="5"/>
      <c r="F244" s="5"/>
      <c r="G244" s="2"/>
      <c r="H244" s="5"/>
      <c r="I244" s="5"/>
      <c r="J244" s="2"/>
      <c r="K244" s="2"/>
      <c r="L244" s="2"/>
      <c r="M244" s="79"/>
      <c r="N244" s="2"/>
      <c r="O244" s="2"/>
      <c r="P244" s="5"/>
      <c r="Q244" s="3"/>
      <c r="R244" s="84"/>
      <c r="S244" s="84"/>
      <c r="T244" s="84"/>
      <c r="U244" s="2"/>
      <c r="V244" s="60"/>
    </row>
    <row r="245" spans="1:22" ht="20.100000000000001" customHeight="1" x14ac:dyDescent="0.25">
      <c r="A245" s="2"/>
      <c r="B245" s="2"/>
      <c r="C245" s="2"/>
      <c r="D245" s="5"/>
      <c r="E245" s="5"/>
      <c r="F245" s="5"/>
      <c r="G245" s="2"/>
      <c r="H245" s="5"/>
      <c r="I245" s="5"/>
      <c r="J245" s="2"/>
      <c r="K245" s="2"/>
      <c r="L245" s="2"/>
      <c r="M245" s="79"/>
      <c r="N245" s="2"/>
      <c r="O245" s="2"/>
      <c r="P245" s="5"/>
      <c r="Q245" s="3"/>
      <c r="R245" s="84"/>
      <c r="S245" s="84"/>
      <c r="T245" s="84"/>
      <c r="U245" s="2"/>
      <c r="V245" s="60"/>
    </row>
    <row r="246" spans="1:22" ht="20.100000000000001" customHeight="1" x14ac:dyDescent="0.25">
      <c r="A246" s="2"/>
      <c r="B246" s="2"/>
      <c r="C246" s="2"/>
      <c r="D246" s="5"/>
      <c r="E246" s="5"/>
      <c r="F246" s="5"/>
      <c r="G246" s="2"/>
      <c r="H246" s="5"/>
      <c r="I246" s="5"/>
      <c r="J246" s="2"/>
      <c r="K246" s="2"/>
      <c r="L246" s="2"/>
      <c r="M246" s="79"/>
      <c r="N246" s="2"/>
      <c r="O246" s="2"/>
      <c r="P246" s="5"/>
      <c r="Q246" s="3"/>
      <c r="R246" s="84"/>
      <c r="S246" s="84"/>
      <c r="T246" s="84"/>
      <c r="U246" s="2"/>
      <c r="V246" s="60"/>
    </row>
    <row r="247" spans="1:22" ht="20.100000000000001" customHeight="1" x14ac:dyDescent="0.25">
      <c r="A247" s="2"/>
      <c r="B247" s="2"/>
      <c r="C247" s="2"/>
      <c r="D247" s="5"/>
      <c r="E247" s="5"/>
      <c r="F247" s="5"/>
      <c r="G247" s="2"/>
      <c r="H247" s="5"/>
      <c r="I247" s="5"/>
      <c r="J247" s="2"/>
      <c r="K247" s="2"/>
      <c r="L247" s="2"/>
      <c r="M247" s="79"/>
      <c r="N247" s="2"/>
      <c r="O247" s="2"/>
      <c r="P247" s="5"/>
      <c r="Q247" s="3"/>
      <c r="R247" s="84"/>
      <c r="S247" s="84"/>
      <c r="T247" s="84"/>
      <c r="U247" s="2"/>
      <c r="V247" s="60"/>
    </row>
    <row r="248" spans="1:22" ht="20.100000000000001" customHeight="1" x14ac:dyDescent="0.25">
      <c r="A248" s="2"/>
      <c r="B248" s="2"/>
      <c r="C248" s="2"/>
      <c r="D248" s="5"/>
      <c r="E248" s="5"/>
      <c r="F248" s="5"/>
      <c r="G248" s="2"/>
      <c r="H248" s="5"/>
      <c r="I248" s="5"/>
      <c r="J248" s="2"/>
      <c r="K248" s="2"/>
      <c r="L248" s="2"/>
      <c r="M248" s="79"/>
      <c r="N248" s="2"/>
      <c r="O248" s="2"/>
      <c r="P248" s="5"/>
      <c r="Q248" s="3"/>
      <c r="R248" s="84"/>
      <c r="S248" s="84"/>
      <c r="T248" s="84"/>
      <c r="U248" s="2"/>
      <c r="V248" s="60"/>
    </row>
    <row r="249" spans="1:22" ht="20.100000000000001" customHeight="1" x14ac:dyDescent="0.25">
      <c r="A249" s="2"/>
      <c r="B249" s="2"/>
      <c r="C249" s="2"/>
      <c r="D249" s="5"/>
      <c r="E249" s="5"/>
      <c r="F249" s="5"/>
      <c r="G249" s="2"/>
      <c r="H249" s="5"/>
      <c r="I249" s="5"/>
      <c r="J249" s="2"/>
      <c r="K249" s="2"/>
      <c r="L249" s="2"/>
      <c r="M249" s="79"/>
      <c r="N249" s="2"/>
      <c r="O249" s="2"/>
      <c r="P249" s="5"/>
      <c r="Q249" s="3"/>
      <c r="R249" s="84"/>
      <c r="S249" s="84"/>
      <c r="T249" s="84"/>
      <c r="U249" s="2"/>
      <c r="V249" s="60"/>
    </row>
    <row r="250" spans="1:22" ht="20.100000000000001" customHeight="1" x14ac:dyDescent="0.25">
      <c r="A250" s="2"/>
      <c r="B250" s="2"/>
      <c r="C250" s="2"/>
      <c r="D250" s="5"/>
      <c r="E250" s="5"/>
      <c r="F250" s="5"/>
      <c r="G250" s="2"/>
      <c r="H250" s="5"/>
      <c r="I250" s="5"/>
      <c r="J250" s="2"/>
      <c r="K250" s="2"/>
      <c r="L250" s="2"/>
      <c r="M250" s="79"/>
      <c r="N250" s="2"/>
      <c r="O250" s="2"/>
      <c r="P250" s="5"/>
      <c r="Q250" s="3"/>
      <c r="R250" s="84"/>
      <c r="S250" s="84"/>
      <c r="T250" s="84"/>
      <c r="U250" s="2"/>
      <c r="V250" s="60"/>
    </row>
    <row r="251" spans="1:22" ht="20.100000000000001" customHeight="1" x14ac:dyDescent="0.25">
      <c r="A251" s="2"/>
      <c r="B251" s="2"/>
      <c r="C251" s="2"/>
      <c r="D251" s="5"/>
      <c r="E251" s="5"/>
      <c r="F251" s="5"/>
      <c r="G251" s="2"/>
      <c r="H251" s="5"/>
      <c r="I251" s="5"/>
      <c r="J251" s="2"/>
      <c r="K251" s="2"/>
      <c r="L251" s="2"/>
      <c r="M251" s="79"/>
      <c r="N251" s="2"/>
      <c r="O251" s="2"/>
      <c r="P251" s="5"/>
      <c r="Q251" s="3"/>
      <c r="R251" s="84"/>
      <c r="S251" s="84"/>
      <c r="T251" s="84"/>
      <c r="U251" s="2"/>
      <c r="V251" s="60"/>
    </row>
    <row r="252" spans="1:22" ht="20.100000000000001" customHeight="1" x14ac:dyDescent="0.25">
      <c r="A252" s="2"/>
      <c r="B252" s="2"/>
      <c r="C252" s="2"/>
      <c r="D252" s="5"/>
      <c r="E252" s="5"/>
      <c r="F252" s="5"/>
      <c r="G252" s="2"/>
      <c r="H252" s="5"/>
      <c r="I252" s="5"/>
      <c r="J252" s="2"/>
      <c r="K252" s="2"/>
      <c r="L252" s="2"/>
      <c r="M252" s="79"/>
      <c r="N252" s="2"/>
      <c r="O252" s="2"/>
      <c r="P252" s="5"/>
      <c r="Q252" s="3"/>
      <c r="R252" s="84"/>
      <c r="S252" s="84"/>
      <c r="T252" s="84"/>
      <c r="U252" s="2"/>
      <c r="V252" s="60"/>
    </row>
    <row r="253" spans="1:22" ht="20.100000000000001" customHeight="1" x14ac:dyDescent="0.25">
      <c r="A253" s="2"/>
      <c r="B253" s="2"/>
      <c r="C253" s="2"/>
      <c r="D253" s="5"/>
      <c r="E253" s="5"/>
      <c r="F253" s="5"/>
      <c r="G253" s="2"/>
      <c r="H253" s="5"/>
      <c r="I253" s="5"/>
      <c r="J253" s="2"/>
      <c r="K253" s="2"/>
      <c r="L253" s="2"/>
      <c r="M253" s="79"/>
      <c r="N253" s="2"/>
      <c r="O253" s="2"/>
      <c r="P253" s="5"/>
      <c r="Q253" s="3"/>
      <c r="R253" s="84"/>
      <c r="S253" s="84"/>
      <c r="T253" s="84"/>
      <c r="U253" s="2"/>
      <c r="V253" s="60"/>
    </row>
    <row r="254" spans="1:22" ht="20.100000000000001" customHeight="1" x14ac:dyDescent="0.25">
      <c r="A254" s="2"/>
      <c r="B254" s="2"/>
      <c r="C254" s="2"/>
      <c r="D254" s="5"/>
      <c r="E254" s="5"/>
      <c r="F254" s="5"/>
      <c r="G254" s="2"/>
      <c r="H254" s="5"/>
      <c r="I254" s="5"/>
      <c r="J254" s="2"/>
      <c r="K254" s="2"/>
      <c r="L254" s="2"/>
      <c r="M254" s="79"/>
      <c r="N254" s="2"/>
      <c r="O254" s="2"/>
      <c r="P254" s="5"/>
      <c r="Q254" s="3"/>
      <c r="R254" s="84"/>
      <c r="S254" s="84"/>
      <c r="T254" s="84"/>
      <c r="U254" s="2"/>
      <c r="V254" s="60"/>
    </row>
    <row r="255" spans="1:22" ht="20.100000000000001" customHeight="1" x14ac:dyDescent="0.25">
      <c r="A255" s="2"/>
      <c r="B255" s="2"/>
      <c r="C255" s="2"/>
      <c r="D255" s="5"/>
      <c r="E255" s="5"/>
      <c r="F255" s="5"/>
      <c r="G255" s="2"/>
      <c r="H255" s="5"/>
      <c r="I255" s="5"/>
      <c r="J255" s="2"/>
      <c r="K255" s="2"/>
      <c r="L255" s="2"/>
      <c r="M255" s="79"/>
      <c r="N255" s="2"/>
      <c r="O255" s="2"/>
      <c r="P255" s="5"/>
      <c r="Q255" s="3"/>
      <c r="R255" s="84"/>
      <c r="S255" s="84"/>
      <c r="T255" s="84"/>
      <c r="U255" s="2"/>
      <c r="V255" s="60"/>
    </row>
    <row r="256" spans="1:22" ht="20.100000000000001" customHeight="1" x14ac:dyDescent="0.25">
      <c r="A256" s="2"/>
      <c r="B256" s="2"/>
      <c r="C256" s="2"/>
      <c r="D256" s="5"/>
      <c r="E256" s="5"/>
      <c r="F256" s="5"/>
      <c r="G256" s="2"/>
      <c r="H256" s="5"/>
      <c r="I256" s="5"/>
      <c r="J256" s="2"/>
      <c r="K256" s="2"/>
      <c r="L256" s="2"/>
      <c r="M256" s="79"/>
      <c r="N256" s="2"/>
      <c r="O256" s="2"/>
      <c r="P256" s="5"/>
      <c r="Q256" s="3"/>
      <c r="R256" s="84"/>
      <c r="S256" s="84"/>
      <c r="T256" s="84"/>
      <c r="U256" s="2"/>
      <c r="V256" s="60"/>
    </row>
    <row r="257" spans="1:22" ht="20.100000000000001" customHeight="1" x14ac:dyDescent="0.25">
      <c r="A257" s="2"/>
      <c r="B257" s="2"/>
      <c r="C257" s="2"/>
      <c r="D257" s="5"/>
      <c r="E257" s="5"/>
      <c r="F257" s="5"/>
      <c r="G257" s="2"/>
      <c r="H257" s="5"/>
      <c r="I257" s="5"/>
      <c r="J257" s="2"/>
      <c r="K257" s="2"/>
      <c r="L257" s="2"/>
      <c r="M257" s="79"/>
      <c r="N257" s="2"/>
      <c r="O257" s="2"/>
      <c r="P257" s="5"/>
      <c r="Q257" s="3"/>
      <c r="R257" s="84"/>
      <c r="S257" s="84"/>
      <c r="T257" s="84"/>
      <c r="U257" s="2"/>
      <c r="V257" s="60"/>
    </row>
    <row r="258" spans="1:22" ht="20.100000000000001" customHeight="1" x14ac:dyDescent="0.25">
      <c r="A258" s="2"/>
      <c r="B258" s="2"/>
      <c r="C258" s="2"/>
      <c r="D258" s="5"/>
      <c r="E258" s="5"/>
      <c r="F258" s="5"/>
      <c r="G258" s="2"/>
      <c r="H258" s="5"/>
      <c r="I258" s="5"/>
      <c r="J258" s="2"/>
      <c r="K258" s="2"/>
      <c r="L258" s="2"/>
      <c r="M258" s="79"/>
      <c r="N258" s="2"/>
      <c r="O258" s="2"/>
      <c r="P258" s="5"/>
      <c r="Q258" s="3"/>
      <c r="R258" s="84"/>
      <c r="S258" s="84"/>
      <c r="T258" s="84"/>
      <c r="U258" s="2"/>
      <c r="V258" s="60"/>
    </row>
    <row r="259" spans="1:22" ht="20.100000000000001" customHeight="1" x14ac:dyDescent="0.25">
      <c r="A259" s="2"/>
      <c r="B259" s="2"/>
      <c r="C259" s="2"/>
      <c r="D259" s="5"/>
      <c r="E259" s="5"/>
      <c r="F259" s="5"/>
      <c r="G259" s="2"/>
      <c r="H259" s="5"/>
      <c r="I259" s="5"/>
      <c r="J259" s="2"/>
      <c r="K259" s="2"/>
      <c r="L259" s="2"/>
      <c r="M259" s="79"/>
      <c r="N259" s="2"/>
      <c r="O259" s="2"/>
      <c r="P259" s="5"/>
      <c r="Q259" s="3"/>
      <c r="R259" s="84"/>
      <c r="S259" s="84"/>
      <c r="T259" s="84"/>
      <c r="U259" s="2"/>
      <c r="V259" s="60"/>
    </row>
    <row r="260" spans="1:22" ht="20.100000000000001" customHeight="1" x14ac:dyDescent="0.25">
      <c r="A260" s="2"/>
      <c r="B260" s="2"/>
      <c r="C260" s="2"/>
      <c r="D260" s="5"/>
      <c r="E260" s="5"/>
      <c r="F260" s="5"/>
      <c r="G260" s="2"/>
      <c r="H260" s="5"/>
      <c r="I260" s="5"/>
      <c r="J260" s="2"/>
      <c r="K260" s="2"/>
      <c r="L260" s="2"/>
      <c r="M260" s="79"/>
      <c r="N260" s="2"/>
      <c r="O260" s="2"/>
      <c r="P260" s="5"/>
      <c r="Q260" s="3"/>
      <c r="R260" s="84"/>
      <c r="S260" s="84"/>
      <c r="T260" s="84"/>
      <c r="U260" s="2"/>
      <c r="V260" s="60"/>
    </row>
    <row r="261" spans="1:22" ht="20.100000000000001" customHeight="1" x14ac:dyDescent="0.25">
      <c r="A261" s="2"/>
      <c r="B261" s="2"/>
      <c r="C261" s="2"/>
      <c r="D261" s="5"/>
      <c r="E261" s="5"/>
      <c r="F261" s="5"/>
      <c r="G261" s="2"/>
      <c r="H261" s="5"/>
      <c r="I261" s="5"/>
      <c r="J261" s="2"/>
      <c r="K261" s="2"/>
      <c r="L261" s="2"/>
      <c r="M261" s="79"/>
      <c r="N261" s="2"/>
      <c r="O261" s="2"/>
      <c r="P261" s="5"/>
      <c r="Q261" s="3"/>
      <c r="R261" s="84"/>
      <c r="S261" s="84"/>
      <c r="T261" s="84"/>
      <c r="U261" s="2"/>
      <c r="V261" s="60"/>
    </row>
    <row r="262" spans="1:22" ht="20.100000000000001" customHeight="1" x14ac:dyDescent="0.25">
      <c r="A262" s="2"/>
      <c r="B262" s="2"/>
      <c r="C262" s="2"/>
      <c r="D262" s="5"/>
      <c r="E262" s="5"/>
      <c r="F262" s="5"/>
      <c r="G262" s="2"/>
      <c r="H262" s="5"/>
      <c r="I262" s="5"/>
      <c r="J262" s="2"/>
      <c r="K262" s="2"/>
      <c r="L262" s="2"/>
      <c r="M262" s="79"/>
      <c r="N262" s="2"/>
      <c r="O262" s="2"/>
      <c r="P262" s="5"/>
      <c r="Q262" s="3"/>
      <c r="R262" s="84"/>
      <c r="S262" s="84"/>
      <c r="T262" s="84"/>
      <c r="U262" s="2"/>
      <c r="V262" s="60"/>
    </row>
    <row r="263" spans="1:22" ht="20.100000000000001" customHeight="1" x14ac:dyDescent="0.25">
      <c r="A263" s="2"/>
      <c r="B263" s="2"/>
      <c r="C263" s="2"/>
      <c r="D263" s="5"/>
      <c r="E263" s="5"/>
      <c r="F263" s="5"/>
      <c r="G263" s="2"/>
      <c r="H263" s="5"/>
      <c r="I263" s="5"/>
      <c r="J263" s="2"/>
      <c r="K263" s="2"/>
      <c r="L263" s="2"/>
      <c r="M263" s="79"/>
      <c r="N263" s="2"/>
      <c r="O263" s="2"/>
      <c r="P263" s="5"/>
      <c r="Q263" s="3"/>
      <c r="R263" s="84"/>
      <c r="S263" s="84"/>
      <c r="T263" s="84"/>
      <c r="U263" s="2"/>
      <c r="V263" s="60"/>
    </row>
    <row r="264" spans="1:22" ht="20.100000000000001" customHeight="1" x14ac:dyDescent="0.25">
      <c r="A264" s="2"/>
      <c r="B264" s="2"/>
      <c r="C264" s="2"/>
      <c r="D264" s="5"/>
      <c r="E264" s="5"/>
      <c r="F264" s="5"/>
      <c r="G264" s="2"/>
      <c r="H264" s="5"/>
      <c r="I264" s="5"/>
      <c r="J264" s="2"/>
      <c r="K264" s="2"/>
      <c r="L264" s="2"/>
      <c r="M264" s="79"/>
      <c r="N264" s="2"/>
      <c r="O264" s="2"/>
      <c r="P264" s="5"/>
      <c r="Q264" s="3"/>
      <c r="R264" s="84"/>
      <c r="S264" s="84"/>
      <c r="T264" s="84"/>
      <c r="U264" s="2"/>
      <c r="V264" s="60"/>
    </row>
    <row r="265" spans="1:22" ht="20.100000000000001" customHeight="1" x14ac:dyDescent="0.25">
      <c r="A265" s="2"/>
      <c r="B265" s="2"/>
      <c r="C265" s="2"/>
      <c r="D265" s="5"/>
      <c r="E265" s="5"/>
      <c r="F265" s="5"/>
      <c r="G265" s="2"/>
      <c r="H265" s="5"/>
      <c r="I265" s="5"/>
      <c r="J265" s="2"/>
      <c r="K265" s="2"/>
      <c r="L265" s="2"/>
      <c r="M265" s="79"/>
      <c r="N265" s="2"/>
      <c r="O265" s="2"/>
      <c r="P265" s="5"/>
      <c r="Q265" s="3"/>
      <c r="R265" s="84"/>
      <c r="S265" s="84"/>
      <c r="T265" s="84"/>
      <c r="U265" s="2"/>
      <c r="V265" s="60"/>
    </row>
    <row r="266" spans="1:22" ht="20.100000000000001" customHeight="1" x14ac:dyDescent="0.25">
      <c r="A266" s="2"/>
      <c r="B266" s="2"/>
      <c r="C266" s="2"/>
      <c r="D266" s="5"/>
      <c r="E266" s="5"/>
      <c r="F266" s="5"/>
      <c r="G266" s="2"/>
      <c r="H266" s="5"/>
      <c r="I266" s="5"/>
      <c r="J266" s="2"/>
      <c r="K266" s="2"/>
      <c r="L266" s="2"/>
      <c r="M266" s="79"/>
      <c r="N266" s="2"/>
      <c r="O266" s="2"/>
      <c r="P266" s="5"/>
      <c r="Q266" s="3"/>
      <c r="R266" s="84"/>
      <c r="S266" s="84"/>
      <c r="T266" s="84"/>
      <c r="U266" s="2"/>
      <c r="V266" s="60"/>
    </row>
    <row r="267" spans="1:22" ht="20.100000000000001" customHeight="1" x14ac:dyDescent="0.25">
      <c r="A267" s="2"/>
      <c r="B267" s="2"/>
      <c r="C267" s="2"/>
      <c r="D267" s="5"/>
      <c r="E267" s="5"/>
      <c r="F267" s="5"/>
      <c r="G267" s="2"/>
      <c r="H267" s="5"/>
      <c r="I267" s="5"/>
      <c r="J267" s="2"/>
      <c r="K267" s="2"/>
      <c r="L267" s="2"/>
      <c r="M267" s="79"/>
      <c r="N267" s="2"/>
      <c r="O267" s="2"/>
      <c r="P267" s="5"/>
      <c r="Q267" s="3"/>
      <c r="R267" s="84"/>
      <c r="S267" s="84"/>
      <c r="T267" s="84"/>
      <c r="U267" s="2"/>
      <c r="V267" s="60"/>
    </row>
    <row r="268" spans="1:22" ht="20.100000000000001" customHeight="1" x14ac:dyDescent="0.25">
      <c r="A268" s="2"/>
      <c r="B268" s="2"/>
      <c r="C268" s="2"/>
      <c r="D268" s="5"/>
      <c r="E268" s="5"/>
      <c r="F268" s="5"/>
      <c r="G268" s="2"/>
      <c r="H268" s="5"/>
      <c r="I268" s="5"/>
      <c r="J268" s="2"/>
      <c r="K268" s="2"/>
      <c r="L268" s="2"/>
      <c r="M268" s="79"/>
      <c r="N268" s="2"/>
      <c r="O268" s="2"/>
      <c r="P268" s="5"/>
      <c r="Q268" s="3"/>
      <c r="R268" s="84"/>
      <c r="S268" s="84"/>
      <c r="T268" s="84"/>
      <c r="U268" s="2"/>
      <c r="V268" s="60"/>
    </row>
    <row r="269" spans="1:22" ht="20.100000000000001" customHeight="1" x14ac:dyDescent="0.25">
      <c r="A269" s="2"/>
      <c r="B269" s="2"/>
      <c r="C269" s="2"/>
      <c r="D269" s="5"/>
      <c r="E269" s="5"/>
      <c r="F269" s="5"/>
      <c r="G269" s="2"/>
      <c r="H269" s="5"/>
      <c r="I269" s="5"/>
      <c r="J269" s="2"/>
      <c r="K269" s="2"/>
      <c r="L269" s="2"/>
      <c r="M269" s="79"/>
      <c r="N269" s="2"/>
      <c r="O269" s="2"/>
      <c r="P269" s="5"/>
      <c r="Q269" s="3"/>
      <c r="R269" s="84"/>
      <c r="S269" s="84"/>
      <c r="T269" s="84"/>
      <c r="U269" s="2"/>
      <c r="V269" s="60"/>
    </row>
    <row r="270" spans="1:22" ht="20.100000000000001" customHeight="1" x14ac:dyDescent="0.25">
      <c r="A270" s="2"/>
      <c r="B270" s="2"/>
      <c r="C270" s="2"/>
      <c r="D270" s="5"/>
      <c r="E270" s="5"/>
      <c r="F270" s="5"/>
      <c r="G270" s="2"/>
      <c r="H270" s="5"/>
      <c r="I270" s="5"/>
      <c r="J270" s="2"/>
      <c r="K270" s="2"/>
      <c r="L270" s="2"/>
      <c r="M270" s="79"/>
      <c r="N270" s="2"/>
      <c r="O270" s="2"/>
      <c r="P270" s="5"/>
      <c r="Q270" s="3"/>
      <c r="R270" s="84"/>
      <c r="S270" s="84"/>
      <c r="T270" s="84"/>
      <c r="U270" s="2"/>
      <c r="V270" s="60"/>
    </row>
    <row r="271" spans="1:22" ht="20.100000000000001" customHeight="1" x14ac:dyDescent="0.25">
      <c r="A271" s="2"/>
      <c r="B271" s="2"/>
      <c r="C271" s="2"/>
      <c r="D271" s="5"/>
      <c r="E271" s="5"/>
      <c r="F271" s="5"/>
      <c r="G271" s="2"/>
      <c r="H271" s="5"/>
      <c r="I271" s="5"/>
      <c r="J271" s="2"/>
      <c r="K271" s="2"/>
      <c r="L271" s="2"/>
      <c r="M271" s="79"/>
      <c r="N271" s="2"/>
      <c r="O271" s="2"/>
      <c r="P271" s="5"/>
      <c r="Q271" s="3"/>
      <c r="R271" s="84"/>
      <c r="S271" s="84"/>
      <c r="T271" s="84"/>
      <c r="U271" s="2"/>
      <c r="V271" s="60"/>
    </row>
    <row r="272" spans="1:22" ht="20.100000000000001" customHeight="1" x14ac:dyDescent="0.25">
      <c r="A272" s="2"/>
      <c r="B272" s="2"/>
      <c r="C272" s="2"/>
      <c r="D272" s="5"/>
      <c r="E272" s="5"/>
      <c r="F272" s="5"/>
      <c r="G272" s="2"/>
      <c r="H272" s="5"/>
      <c r="I272" s="5"/>
      <c r="J272" s="2"/>
      <c r="K272" s="2"/>
      <c r="L272" s="2"/>
      <c r="M272" s="79"/>
      <c r="N272" s="2"/>
      <c r="O272" s="2"/>
      <c r="P272" s="5"/>
      <c r="Q272" s="3"/>
      <c r="R272" s="84"/>
      <c r="S272" s="84"/>
      <c r="T272" s="84"/>
      <c r="U272" s="2"/>
      <c r="V272" s="60"/>
    </row>
    <row r="273" spans="1:22" ht="20.100000000000001" customHeight="1" x14ac:dyDescent="0.25">
      <c r="A273" s="2"/>
      <c r="B273" s="2"/>
      <c r="C273" s="2"/>
      <c r="D273" s="5"/>
      <c r="E273" s="5"/>
      <c r="F273" s="5"/>
      <c r="G273" s="2"/>
      <c r="H273" s="5"/>
      <c r="I273" s="5"/>
      <c r="J273" s="2"/>
      <c r="K273" s="2"/>
      <c r="L273" s="2"/>
      <c r="M273" s="79"/>
      <c r="N273" s="2"/>
      <c r="O273" s="2"/>
      <c r="P273" s="5"/>
      <c r="Q273" s="3"/>
      <c r="R273" s="84"/>
      <c r="S273" s="84"/>
      <c r="T273" s="84"/>
      <c r="U273" s="2"/>
      <c r="V273" s="60"/>
    </row>
    <row r="274" spans="1:22" ht="20.100000000000001" customHeight="1" x14ac:dyDescent="0.25">
      <c r="A274" s="2"/>
      <c r="B274" s="2"/>
      <c r="C274" s="2"/>
      <c r="D274" s="5"/>
      <c r="E274" s="5"/>
      <c r="F274" s="5"/>
      <c r="G274" s="2"/>
      <c r="H274" s="5"/>
      <c r="I274" s="5"/>
      <c r="J274" s="2"/>
      <c r="K274" s="2"/>
      <c r="L274" s="2"/>
      <c r="M274" s="79"/>
      <c r="N274" s="2"/>
      <c r="O274" s="2"/>
      <c r="P274" s="5"/>
      <c r="Q274" s="3"/>
      <c r="R274" s="84"/>
      <c r="S274" s="84"/>
      <c r="T274" s="84"/>
      <c r="U274" s="2"/>
      <c r="V274" s="60"/>
    </row>
    <row r="275" spans="1:22" ht="20.100000000000001" customHeight="1" x14ac:dyDescent="0.25">
      <c r="A275" s="2"/>
      <c r="B275" s="2"/>
      <c r="C275" s="2"/>
      <c r="D275" s="5"/>
      <c r="E275" s="5"/>
      <c r="F275" s="5"/>
      <c r="G275" s="2"/>
      <c r="H275" s="5"/>
      <c r="I275" s="5"/>
      <c r="J275" s="2"/>
      <c r="K275" s="2"/>
      <c r="L275" s="2"/>
      <c r="M275" s="79"/>
      <c r="N275" s="2"/>
      <c r="O275" s="2"/>
      <c r="P275" s="5"/>
      <c r="Q275" s="3"/>
      <c r="R275" s="84"/>
      <c r="S275" s="84"/>
      <c r="T275" s="84"/>
      <c r="U275" s="2"/>
      <c r="V275" s="60"/>
    </row>
    <row r="276" spans="1:22" ht="20.100000000000001" customHeight="1" x14ac:dyDescent="0.25">
      <c r="A276" s="2"/>
      <c r="B276" s="2"/>
      <c r="C276" s="2"/>
      <c r="D276" s="5"/>
      <c r="E276" s="5"/>
      <c r="F276" s="5"/>
      <c r="G276" s="2"/>
      <c r="H276" s="5"/>
      <c r="I276" s="5"/>
      <c r="J276" s="2"/>
      <c r="K276" s="2"/>
      <c r="L276" s="2"/>
      <c r="M276" s="79"/>
      <c r="N276" s="2"/>
      <c r="O276" s="2"/>
      <c r="P276" s="5"/>
      <c r="Q276" s="3"/>
      <c r="R276" s="84"/>
      <c r="S276" s="84"/>
      <c r="T276" s="84"/>
      <c r="U276" s="2"/>
      <c r="V276" s="60"/>
    </row>
    <row r="277" spans="1:22" ht="20.100000000000001" customHeight="1" x14ac:dyDescent="0.25">
      <c r="A277" s="2"/>
      <c r="B277" s="2"/>
      <c r="C277" s="2"/>
      <c r="D277" s="5"/>
      <c r="E277" s="5"/>
      <c r="F277" s="5"/>
      <c r="G277" s="2"/>
      <c r="H277" s="5"/>
      <c r="I277" s="5"/>
      <c r="J277" s="2"/>
      <c r="K277" s="2"/>
      <c r="L277" s="2"/>
      <c r="M277" s="79"/>
      <c r="N277" s="2"/>
      <c r="O277" s="2"/>
      <c r="P277" s="5"/>
      <c r="Q277" s="3"/>
      <c r="R277" s="84"/>
      <c r="S277" s="84"/>
      <c r="T277" s="84"/>
      <c r="U277" s="2"/>
      <c r="V277" s="60"/>
    </row>
    <row r="278" spans="1:22" ht="20.100000000000001" customHeight="1" x14ac:dyDescent="0.25">
      <c r="A278" s="2"/>
      <c r="B278" s="2"/>
      <c r="C278" s="2"/>
      <c r="D278" s="5"/>
      <c r="E278" s="5"/>
      <c r="F278" s="5"/>
      <c r="G278" s="2"/>
      <c r="H278" s="5"/>
      <c r="I278" s="5"/>
      <c r="J278" s="2"/>
      <c r="K278" s="2"/>
      <c r="L278" s="2"/>
      <c r="M278" s="79"/>
      <c r="N278" s="2"/>
      <c r="O278" s="2"/>
      <c r="P278" s="5"/>
      <c r="Q278" s="3"/>
      <c r="R278" s="84"/>
      <c r="S278" s="84"/>
      <c r="T278" s="84"/>
      <c r="U278" s="2"/>
      <c r="V278" s="60"/>
    </row>
    <row r="279" spans="1:22" ht="20.100000000000001" customHeight="1" x14ac:dyDescent="0.25">
      <c r="A279" s="2"/>
      <c r="B279" s="2"/>
      <c r="C279" s="2"/>
      <c r="D279" s="5"/>
      <c r="E279" s="5"/>
      <c r="F279" s="5"/>
      <c r="G279" s="2"/>
      <c r="H279" s="5"/>
      <c r="I279" s="5"/>
      <c r="J279" s="2"/>
      <c r="K279" s="2"/>
      <c r="L279" s="2"/>
      <c r="M279" s="79"/>
      <c r="N279" s="2"/>
      <c r="O279" s="2"/>
      <c r="P279" s="5"/>
      <c r="Q279" s="3"/>
      <c r="R279" s="84"/>
      <c r="S279" s="84"/>
      <c r="T279" s="84"/>
      <c r="U279" s="2"/>
      <c r="V279" s="60"/>
    </row>
    <row r="280" spans="1:22" ht="20.100000000000001" customHeight="1" x14ac:dyDescent="0.25">
      <c r="A280" s="2"/>
      <c r="B280" s="2"/>
      <c r="C280" s="2"/>
      <c r="D280" s="5"/>
      <c r="E280" s="5"/>
      <c r="F280" s="5"/>
      <c r="G280" s="2"/>
      <c r="H280" s="5"/>
      <c r="I280" s="5"/>
      <c r="J280" s="2"/>
      <c r="K280" s="2"/>
      <c r="L280" s="2"/>
      <c r="M280" s="79"/>
      <c r="N280" s="2"/>
      <c r="O280" s="2"/>
      <c r="P280" s="5"/>
      <c r="Q280" s="3"/>
      <c r="R280" s="84"/>
      <c r="S280" s="84"/>
      <c r="T280" s="84"/>
      <c r="U280" s="2"/>
      <c r="V280" s="60"/>
    </row>
    <row r="281" spans="1:22" ht="20.100000000000001" customHeight="1" x14ac:dyDescent="0.25">
      <c r="A281" s="2"/>
      <c r="B281" s="2"/>
      <c r="C281" s="2"/>
      <c r="D281" s="5"/>
      <c r="E281" s="5"/>
      <c r="F281" s="5"/>
      <c r="G281" s="2"/>
      <c r="H281" s="5"/>
      <c r="I281" s="5"/>
      <c r="J281" s="2"/>
      <c r="K281" s="2"/>
      <c r="L281" s="2"/>
      <c r="M281" s="79"/>
      <c r="N281" s="2"/>
      <c r="O281" s="2"/>
      <c r="P281" s="5"/>
      <c r="Q281" s="3"/>
      <c r="R281" s="84"/>
      <c r="S281" s="84"/>
      <c r="T281" s="84"/>
      <c r="U281" s="2"/>
      <c r="V281" s="60"/>
    </row>
    <row r="282" spans="1:22" ht="20.100000000000001" customHeight="1" x14ac:dyDescent="0.25">
      <c r="A282" s="2"/>
      <c r="B282" s="2"/>
      <c r="C282" s="2"/>
      <c r="D282" s="5"/>
      <c r="E282" s="5"/>
      <c r="F282" s="5"/>
      <c r="G282" s="2"/>
      <c r="H282" s="5"/>
      <c r="I282" s="5"/>
      <c r="J282" s="2"/>
      <c r="K282" s="2"/>
      <c r="L282" s="2"/>
      <c r="M282" s="79"/>
      <c r="N282" s="2"/>
      <c r="O282" s="2"/>
      <c r="P282" s="5"/>
      <c r="Q282" s="3"/>
      <c r="R282" s="84"/>
      <c r="S282" s="84"/>
      <c r="T282" s="84"/>
      <c r="U282" s="2"/>
      <c r="V282" s="60"/>
    </row>
    <row r="283" spans="1:22" ht="20.100000000000001" customHeight="1" x14ac:dyDescent="0.25">
      <c r="A283" s="2"/>
      <c r="B283" s="2"/>
      <c r="C283" s="2"/>
      <c r="D283" s="5"/>
      <c r="E283" s="5"/>
      <c r="F283" s="5"/>
      <c r="G283" s="2"/>
      <c r="H283" s="5"/>
      <c r="I283" s="5"/>
      <c r="J283" s="2"/>
      <c r="K283" s="2"/>
      <c r="L283" s="2"/>
      <c r="M283" s="79"/>
      <c r="N283" s="2"/>
      <c r="O283" s="2"/>
      <c r="P283" s="5"/>
      <c r="Q283" s="3"/>
      <c r="R283" s="84"/>
      <c r="S283" s="84"/>
      <c r="T283" s="84"/>
      <c r="U283" s="2"/>
      <c r="V283" s="60"/>
    </row>
    <row r="284" spans="1:22" ht="20.100000000000001" customHeight="1" x14ac:dyDescent="0.25">
      <c r="A284" s="2"/>
      <c r="B284" s="2"/>
      <c r="C284" s="2"/>
      <c r="D284" s="5"/>
      <c r="E284" s="5"/>
      <c r="F284" s="5"/>
      <c r="G284" s="2"/>
      <c r="H284" s="5"/>
      <c r="I284" s="5"/>
      <c r="J284" s="2"/>
      <c r="K284" s="2"/>
      <c r="L284" s="2"/>
      <c r="M284" s="79"/>
      <c r="N284" s="2"/>
      <c r="O284" s="2"/>
      <c r="P284" s="5"/>
      <c r="Q284" s="3"/>
      <c r="R284" s="84"/>
      <c r="S284" s="84"/>
      <c r="T284" s="84"/>
      <c r="U284" s="2"/>
      <c r="V284" s="60"/>
    </row>
    <row r="285" spans="1:22" ht="20.100000000000001" customHeight="1" x14ac:dyDescent="0.25">
      <c r="A285" s="2"/>
      <c r="B285" s="2"/>
      <c r="C285" s="2"/>
      <c r="D285" s="5"/>
      <c r="E285" s="5"/>
      <c r="F285" s="5"/>
      <c r="G285" s="2"/>
      <c r="H285" s="5"/>
      <c r="I285" s="5"/>
      <c r="J285" s="2"/>
      <c r="K285" s="2"/>
      <c r="L285" s="2"/>
      <c r="M285" s="79"/>
      <c r="N285" s="2"/>
      <c r="O285" s="2"/>
      <c r="P285" s="5"/>
      <c r="Q285" s="3"/>
      <c r="R285" s="84"/>
      <c r="S285" s="84"/>
      <c r="T285" s="84"/>
      <c r="U285" s="2"/>
      <c r="V285" s="60"/>
    </row>
    <row r="286" spans="1:22" ht="20.100000000000001" customHeight="1" x14ac:dyDescent="0.25">
      <c r="A286" s="2"/>
      <c r="B286" s="2"/>
      <c r="C286" s="2"/>
      <c r="D286" s="5"/>
      <c r="E286" s="5"/>
      <c r="F286" s="5"/>
      <c r="G286" s="2"/>
      <c r="H286" s="5"/>
      <c r="I286" s="5"/>
      <c r="J286" s="2"/>
      <c r="K286" s="2"/>
      <c r="L286" s="2"/>
      <c r="M286" s="79"/>
      <c r="N286" s="2"/>
      <c r="O286" s="2"/>
      <c r="P286" s="5"/>
      <c r="Q286" s="3"/>
      <c r="R286" s="84"/>
      <c r="S286" s="84"/>
      <c r="T286" s="84"/>
      <c r="U286" s="2"/>
      <c r="V286" s="60"/>
    </row>
    <row r="287" spans="1:22" ht="20.100000000000001" customHeight="1" x14ac:dyDescent="0.25">
      <c r="A287" s="2"/>
      <c r="B287" s="2"/>
      <c r="C287" s="2"/>
      <c r="D287" s="5"/>
      <c r="E287" s="5"/>
      <c r="F287" s="5"/>
      <c r="G287" s="2"/>
      <c r="H287" s="5"/>
      <c r="I287" s="5"/>
      <c r="J287" s="2"/>
      <c r="K287" s="2"/>
      <c r="L287" s="2"/>
      <c r="M287" s="79"/>
      <c r="N287" s="2"/>
      <c r="O287" s="2"/>
      <c r="P287" s="5"/>
      <c r="Q287" s="3"/>
      <c r="R287" s="84"/>
      <c r="S287" s="84"/>
      <c r="T287" s="84"/>
      <c r="U287" s="2"/>
      <c r="V287" s="60"/>
    </row>
    <row r="288" spans="1:22" ht="20.100000000000001" customHeight="1" x14ac:dyDescent="0.25">
      <c r="A288" s="2"/>
      <c r="B288" s="2"/>
      <c r="C288" s="2"/>
      <c r="D288" s="5"/>
      <c r="E288" s="5"/>
      <c r="F288" s="5"/>
      <c r="G288" s="2"/>
      <c r="H288" s="5"/>
      <c r="I288" s="5"/>
      <c r="J288" s="2"/>
      <c r="K288" s="2"/>
      <c r="L288" s="2"/>
      <c r="M288" s="79"/>
      <c r="N288" s="2"/>
      <c r="O288" s="2"/>
      <c r="P288" s="5"/>
      <c r="Q288" s="3"/>
      <c r="R288" s="84"/>
      <c r="S288" s="84"/>
      <c r="T288" s="84"/>
      <c r="U288" s="2"/>
      <c r="V288" s="60"/>
    </row>
    <row r="289" spans="1:22" ht="20.100000000000001" customHeight="1" x14ac:dyDescent="0.25">
      <c r="A289" s="2"/>
      <c r="B289" s="2"/>
      <c r="C289" s="2"/>
      <c r="D289" s="5"/>
      <c r="E289" s="5"/>
      <c r="F289" s="5"/>
      <c r="G289" s="2"/>
      <c r="H289" s="5"/>
      <c r="I289" s="5"/>
      <c r="J289" s="2"/>
      <c r="K289" s="2"/>
      <c r="L289" s="2"/>
      <c r="M289" s="79"/>
      <c r="N289" s="2"/>
      <c r="O289" s="2"/>
      <c r="P289" s="5"/>
      <c r="Q289" s="3"/>
      <c r="R289" s="84"/>
      <c r="S289" s="84"/>
      <c r="T289" s="84"/>
      <c r="U289" s="2"/>
      <c r="V289" s="60"/>
    </row>
    <row r="290" spans="1:22" ht="20.100000000000001" customHeight="1" x14ac:dyDescent="0.25">
      <c r="A290" s="2"/>
      <c r="B290" s="2"/>
      <c r="C290" s="2"/>
      <c r="D290" s="5"/>
      <c r="E290" s="5"/>
      <c r="F290" s="5"/>
      <c r="G290" s="2"/>
      <c r="H290" s="5"/>
      <c r="I290" s="5"/>
      <c r="J290" s="2"/>
      <c r="K290" s="2"/>
      <c r="L290" s="2"/>
      <c r="M290" s="79"/>
      <c r="N290" s="2"/>
      <c r="O290" s="2"/>
      <c r="P290" s="5"/>
      <c r="Q290" s="3"/>
      <c r="R290" s="84"/>
      <c r="S290" s="84"/>
      <c r="T290" s="84"/>
      <c r="U290" s="2"/>
      <c r="V290" s="60"/>
    </row>
    <row r="291" spans="1:22" ht="20.100000000000001" customHeight="1" x14ac:dyDescent="0.25">
      <c r="A291" s="2"/>
      <c r="B291" s="2"/>
      <c r="C291" s="2"/>
      <c r="D291" s="5"/>
      <c r="E291" s="5"/>
      <c r="F291" s="5"/>
      <c r="G291" s="2"/>
      <c r="H291" s="5"/>
      <c r="I291" s="5"/>
      <c r="J291" s="2"/>
      <c r="K291" s="2"/>
      <c r="L291" s="2"/>
      <c r="M291" s="79"/>
      <c r="N291" s="2"/>
      <c r="O291" s="2"/>
      <c r="P291" s="5"/>
      <c r="Q291" s="3"/>
      <c r="R291" s="84"/>
      <c r="S291" s="84"/>
      <c r="T291" s="84"/>
      <c r="U291" s="2"/>
      <c r="V291" s="60"/>
    </row>
    <row r="292" spans="1:22" ht="20.100000000000001" customHeight="1" x14ac:dyDescent="0.25">
      <c r="B292" s="2"/>
      <c r="C292" s="2"/>
      <c r="D292" s="5"/>
      <c r="E292" s="5"/>
      <c r="F292" s="5"/>
      <c r="G292" s="2"/>
      <c r="H292" s="5"/>
      <c r="I292" s="5"/>
      <c r="J292" s="2"/>
      <c r="K292" s="2"/>
      <c r="L292" s="2"/>
      <c r="M292" s="79"/>
      <c r="N292" s="2"/>
      <c r="O292" s="2"/>
      <c r="P292" s="5"/>
      <c r="Q292" s="3"/>
      <c r="R292" s="84"/>
      <c r="S292" s="84"/>
      <c r="T292" s="84"/>
      <c r="U292" s="2"/>
      <c r="V292" s="60"/>
    </row>
    <row r="293" spans="1:22" ht="20.100000000000001" customHeight="1" x14ac:dyDescent="0.25">
      <c r="A293" s="2"/>
      <c r="B293" s="2"/>
      <c r="C293" s="2"/>
      <c r="D293" s="5"/>
      <c r="E293" s="5"/>
      <c r="F293" s="5"/>
      <c r="G293" s="2"/>
      <c r="H293" s="5"/>
      <c r="I293" s="5"/>
      <c r="J293" s="2"/>
      <c r="K293" s="2"/>
      <c r="L293" s="2"/>
      <c r="M293" s="79"/>
      <c r="N293" s="2"/>
      <c r="O293" s="2"/>
      <c r="P293" s="5"/>
      <c r="Q293" s="3"/>
      <c r="R293" s="84"/>
      <c r="S293" s="84"/>
      <c r="T293" s="84"/>
      <c r="U293" s="2"/>
      <c r="V293" s="60"/>
    </row>
    <row r="294" spans="1:22" ht="20.100000000000001" customHeight="1" x14ac:dyDescent="0.25">
      <c r="V294" s="60"/>
    </row>
    <row r="295" spans="1:22" ht="20.100000000000001" customHeight="1" x14ac:dyDescent="0.25">
      <c r="V295" s="60"/>
    </row>
    <row r="296" spans="1:22" ht="20.100000000000001" customHeight="1" x14ac:dyDescent="0.25">
      <c r="V296" s="60"/>
    </row>
    <row r="297" spans="1:22" ht="20.100000000000001" customHeight="1" x14ac:dyDescent="0.25">
      <c r="V297" s="60"/>
    </row>
    <row r="298" spans="1:22" ht="20.100000000000001" customHeight="1" x14ac:dyDescent="0.25">
      <c r="V298" s="60"/>
    </row>
    <row r="299" spans="1:22" ht="20.100000000000001" customHeight="1" x14ac:dyDescent="0.25">
      <c r="V299" s="60"/>
    </row>
    <row r="300" spans="1:22" ht="20.100000000000001" customHeight="1" x14ac:dyDescent="0.25">
      <c r="V300" s="60"/>
    </row>
    <row r="301" spans="1:22" ht="20.100000000000001" customHeight="1" x14ac:dyDescent="0.25">
      <c r="V301" s="60"/>
    </row>
    <row r="302" spans="1:22" ht="20.100000000000001" customHeight="1" x14ac:dyDescent="0.25">
      <c r="V302" s="60"/>
    </row>
    <row r="303" spans="1:22" ht="20.100000000000001" customHeight="1" x14ac:dyDescent="0.25">
      <c r="V303" s="60"/>
    </row>
    <row r="304" spans="1:22" ht="20.100000000000001" customHeight="1" x14ac:dyDescent="0.25">
      <c r="V304" s="60"/>
    </row>
    <row r="305" spans="22:22" ht="20.100000000000001" customHeight="1" x14ac:dyDescent="0.25">
      <c r="V305" s="60"/>
    </row>
    <row r="306" spans="22:22" ht="20.100000000000001" customHeight="1" x14ac:dyDescent="0.25">
      <c r="V306" s="60"/>
    </row>
    <row r="307" spans="22:22" ht="20.100000000000001" customHeight="1" x14ac:dyDescent="0.25">
      <c r="V307" s="60"/>
    </row>
    <row r="308" spans="22:22" ht="20.100000000000001" customHeight="1" x14ac:dyDescent="0.25">
      <c r="V308" s="60"/>
    </row>
    <row r="309" spans="22:22" ht="20.100000000000001" customHeight="1" x14ac:dyDescent="0.25">
      <c r="V309" s="60"/>
    </row>
    <row r="310" spans="22:22" ht="20.100000000000001" customHeight="1" x14ac:dyDescent="0.25">
      <c r="V310" s="60"/>
    </row>
    <row r="311" spans="22:22" ht="20.100000000000001" customHeight="1" x14ac:dyDescent="0.25">
      <c r="V311" s="60"/>
    </row>
    <row r="312" spans="22:22" ht="20.100000000000001" customHeight="1" x14ac:dyDescent="0.25">
      <c r="V312" s="60"/>
    </row>
    <row r="313" spans="22:22" ht="20.100000000000001" customHeight="1" x14ac:dyDescent="0.25">
      <c r="V313" s="60"/>
    </row>
    <row r="314" spans="22:22" ht="20.100000000000001" customHeight="1" x14ac:dyDescent="0.25">
      <c r="V314" s="60"/>
    </row>
    <row r="315" spans="22:22" ht="20.100000000000001" customHeight="1" x14ac:dyDescent="0.25">
      <c r="V315" s="60"/>
    </row>
    <row r="316" spans="22:22" ht="20.100000000000001" customHeight="1" x14ac:dyDescent="0.25">
      <c r="V316" s="60"/>
    </row>
    <row r="317" spans="22:22" ht="20.100000000000001" customHeight="1" x14ac:dyDescent="0.25">
      <c r="V317" s="60"/>
    </row>
    <row r="318" spans="22:22" ht="20.100000000000001" customHeight="1" x14ac:dyDescent="0.25">
      <c r="V318" s="60"/>
    </row>
    <row r="319" spans="22:22" ht="20.100000000000001" customHeight="1" x14ac:dyDescent="0.25">
      <c r="V319" s="60"/>
    </row>
    <row r="320" spans="22:22" ht="20.100000000000001" customHeight="1" x14ac:dyDescent="0.25">
      <c r="V320" s="60"/>
    </row>
    <row r="321" spans="22:22" ht="20.100000000000001" customHeight="1" x14ac:dyDescent="0.25">
      <c r="V321" s="60"/>
    </row>
    <row r="322" spans="22:22" ht="20.100000000000001" customHeight="1" x14ac:dyDescent="0.25">
      <c r="V322" s="60"/>
    </row>
    <row r="323" spans="22:22" ht="20.100000000000001" customHeight="1" x14ac:dyDescent="0.25">
      <c r="V323" s="60"/>
    </row>
    <row r="324" spans="22:22" ht="20.100000000000001" customHeight="1" x14ac:dyDescent="0.25">
      <c r="V324" s="60"/>
    </row>
    <row r="325" spans="22:22" ht="20.100000000000001" customHeight="1" x14ac:dyDescent="0.25">
      <c r="V325" s="60"/>
    </row>
    <row r="326" spans="22:22" ht="20.100000000000001" customHeight="1" x14ac:dyDescent="0.25">
      <c r="V326" s="60"/>
    </row>
    <row r="327" spans="22:22" ht="20.100000000000001" customHeight="1" x14ac:dyDescent="0.25">
      <c r="V327" s="60"/>
    </row>
    <row r="328" spans="22:22" ht="20.100000000000001" customHeight="1" x14ac:dyDescent="0.25">
      <c r="V328" s="60"/>
    </row>
    <row r="329" spans="22:22" ht="20.100000000000001" customHeight="1" x14ac:dyDescent="0.25">
      <c r="V329" s="60"/>
    </row>
    <row r="330" spans="22:22" ht="20.100000000000001" customHeight="1" x14ac:dyDescent="0.25">
      <c r="V330" s="60"/>
    </row>
    <row r="331" spans="22:22" ht="20.100000000000001" customHeight="1" x14ac:dyDescent="0.25">
      <c r="V331" s="60"/>
    </row>
    <row r="332" spans="22:22" ht="20.100000000000001" customHeight="1" x14ac:dyDescent="0.25">
      <c r="V332" s="60"/>
    </row>
    <row r="333" spans="22:22" ht="20.100000000000001" customHeight="1" x14ac:dyDescent="0.25">
      <c r="V333" s="60"/>
    </row>
    <row r="334" spans="22:22" ht="20.100000000000001" customHeight="1" x14ac:dyDescent="0.25">
      <c r="V334" s="60"/>
    </row>
    <row r="335" spans="22:22" ht="20.100000000000001" customHeight="1" x14ac:dyDescent="0.25">
      <c r="V335" s="60"/>
    </row>
    <row r="336" spans="22:22" ht="20.100000000000001" customHeight="1" x14ac:dyDescent="0.25">
      <c r="V336" s="60"/>
    </row>
    <row r="337" spans="22:22" ht="20.100000000000001" customHeight="1" x14ac:dyDescent="0.25">
      <c r="V337" s="60"/>
    </row>
    <row r="338" spans="22:22" ht="20.100000000000001" customHeight="1" x14ac:dyDescent="0.25">
      <c r="V338" s="60"/>
    </row>
    <row r="339" spans="22:22" ht="20.100000000000001" customHeight="1" x14ac:dyDescent="0.25">
      <c r="V339" s="60"/>
    </row>
    <row r="340" spans="22:22" ht="20.100000000000001" customHeight="1" x14ac:dyDescent="0.25">
      <c r="V340" s="60"/>
    </row>
    <row r="341" spans="22:22" ht="20.100000000000001" customHeight="1" x14ac:dyDescent="0.25">
      <c r="V341" s="60"/>
    </row>
    <row r="342" spans="22:22" ht="20.100000000000001" customHeight="1" x14ac:dyDescent="0.25">
      <c r="V342" s="60"/>
    </row>
    <row r="343" spans="22:22" ht="20.100000000000001" customHeight="1" x14ac:dyDescent="0.25">
      <c r="V343" s="60"/>
    </row>
    <row r="344" spans="22:22" ht="20.100000000000001" customHeight="1" x14ac:dyDescent="0.25">
      <c r="V344" s="60"/>
    </row>
    <row r="345" spans="22:22" ht="20.100000000000001" customHeight="1" x14ac:dyDescent="0.25">
      <c r="V345" s="60"/>
    </row>
    <row r="346" spans="22:22" ht="20.100000000000001" customHeight="1" x14ac:dyDescent="0.25">
      <c r="V346" s="60"/>
    </row>
    <row r="347" spans="22:22" ht="20.100000000000001" customHeight="1" x14ac:dyDescent="0.25">
      <c r="V347" s="60"/>
    </row>
    <row r="348" spans="22:22" ht="20.100000000000001" customHeight="1" x14ac:dyDescent="0.25">
      <c r="V348" s="60"/>
    </row>
    <row r="349" spans="22:22" ht="20.100000000000001" customHeight="1" x14ac:dyDescent="0.25">
      <c r="V349" s="60"/>
    </row>
    <row r="350" spans="22:22" ht="20.100000000000001" customHeight="1" x14ac:dyDescent="0.25">
      <c r="V350" s="60"/>
    </row>
    <row r="351" spans="22:22" ht="20.100000000000001" customHeight="1" x14ac:dyDescent="0.25">
      <c r="V351" s="60"/>
    </row>
    <row r="352" spans="22:22" ht="20.100000000000001" customHeight="1" x14ac:dyDescent="0.25">
      <c r="V352" s="60"/>
    </row>
    <row r="353" spans="22:22" ht="20.100000000000001" customHeight="1" x14ac:dyDescent="0.25">
      <c r="V353" s="60"/>
    </row>
    <row r="354" spans="22:22" ht="20.100000000000001" customHeight="1" x14ac:dyDescent="0.25">
      <c r="V354" s="60"/>
    </row>
    <row r="355" spans="22:22" ht="20.100000000000001" customHeight="1" x14ac:dyDescent="0.25">
      <c r="V355" s="60"/>
    </row>
    <row r="356" spans="22:22" ht="20.100000000000001" customHeight="1" x14ac:dyDescent="0.25">
      <c r="V356" s="60"/>
    </row>
    <row r="357" spans="22:22" ht="20.100000000000001" customHeight="1" x14ac:dyDescent="0.25">
      <c r="V357" s="60"/>
    </row>
    <row r="358" spans="22:22" ht="20.100000000000001" customHeight="1" x14ac:dyDescent="0.25">
      <c r="V358" s="60"/>
    </row>
    <row r="359" spans="22:22" ht="20.100000000000001" customHeight="1" x14ac:dyDescent="0.25">
      <c r="V359" s="60"/>
    </row>
    <row r="360" spans="22:22" ht="20.100000000000001" customHeight="1" x14ac:dyDescent="0.25">
      <c r="V360" s="60"/>
    </row>
    <row r="361" spans="22:22" ht="20.100000000000001" customHeight="1" x14ac:dyDescent="0.25">
      <c r="V361" s="60"/>
    </row>
    <row r="362" spans="22:22" ht="20.100000000000001" customHeight="1" x14ac:dyDescent="0.25">
      <c r="V362" s="60"/>
    </row>
    <row r="363" spans="22:22" ht="20.100000000000001" customHeight="1" x14ac:dyDescent="0.25">
      <c r="V363" s="60"/>
    </row>
    <row r="364" spans="22:22" ht="20.100000000000001" customHeight="1" x14ac:dyDescent="0.25">
      <c r="V364" s="60"/>
    </row>
    <row r="365" spans="22:22" ht="20.100000000000001" customHeight="1" x14ac:dyDescent="0.25">
      <c r="V365" s="60"/>
    </row>
    <row r="366" spans="22:22" ht="20.100000000000001" customHeight="1" x14ac:dyDescent="0.25">
      <c r="V366" s="60"/>
    </row>
    <row r="367" spans="22:22" ht="20.100000000000001" customHeight="1" x14ac:dyDescent="0.25">
      <c r="V367" s="60"/>
    </row>
    <row r="368" spans="22:22" ht="20.100000000000001" customHeight="1" x14ac:dyDescent="0.25">
      <c r="V368" s="60"/>
    </row>
    <row r="369" spans="22:22" ht="20.100000000000001" customHeight="1" x14ac:dyDescent="0.25">
      <c r="V369" s="60"/>
    </row>
    <row r="370" spans="22:22" ht="20.100000000000001" customHeight="1" x14ac:dyDescent="0.25">
      <c r="V370" s="60"/>
    </row>
    <row r="371" spans="22:22" ht="20.100000000000001" customHeight="1" x14ac:dyDescent="0.25">
      <c r="V371" s="60"/>
    </row>
    <row r="372" spans="22:22" ht="20.100000000000001" customHeight="1" x14ac:dyDescent="0.25">
      <c r="V372" s="60"/>
    </row>
    <row r="373" spans="22:22" ht="20.100000000000001" customHeight="1" x14ac:dyDescent="0.25">
      <c r="V373" s="60"/>
    </row>
    <row r="374" spans="22:22" ht="20.100000000000001" customHeight="1" x14ac:dyDescent="0.25">
      <c r="V374" s="60"/>
    </row>
    <row r="375" spans="22:22" ht="20.100000000000001" customHeight="1" x14ac:dyDescent="0.25">
      <c r="V375" s="60"/>
    </row>
    <row r="376" spans="22:22" ht="20.100000000000001" customHeight="1" x14ac:dyDescent="0.25">
      <c r="V376" s="60"/>
    </row>
    <row r="377" spans="22:22" ht="20.100000000000001" customHeight="1" x14ac:dyDescent="0.25">
      <c r="V377" s="60"/>
    </row>
    <row r="378" spans="22:22" ht="20.100000000000001" customHeight="1" x14ac:dyDescent="0.25">
      <c r="V378" s="60"/>
    </row>
    <row r="379" spans="22:22" ht="20.100000000000001" customHeight="1" x14ac:dyDescent="0.25">
      <c r="V379" s="60"/>
    </row>
    <row r="380" spans="22:22" ht="20.100000000000001" customHeight="1" x14ac:dyDescent="0.25">
      <c r="V380" s="60"/>
    </row>
    <row r="381" spans="22:22" ht="20.100000000000001" customHeight="1" x14ac:dyDescent="0.25">
      <c r="V381" s="60"/>
    </row>
    <row r="382" spans="22:22" ht="20.100000000000001" customHeight="1" x14ac:dyDescent="0.25">
      <c r="V382" s="60"/>
    </row>
    <row r="383" spans="22:22" ht="20.100000000000001" customHeight="1" x14ac:dyDescent="0.25">
      <c r="V383" s="60"/>
    </row>
    <row r="384" spans="22:22" ht="20.100000000000001" customHeight="1" x14ac:dyDescent="0.25">
      <c r="V384" s="60"/>
    </row>
    <row r="385" spans="22:22" ht="20.100000000000001" customHeight="1" x14ac:dyDescent="0.25">
      <c r="V385" s="60"/>
    </row>
    <row r="386" spans="22:22" ht="20.100000000000001" customHeight="1" x14ac:dyDescent="0.25">
      <c r="V386" s="60"/>
    </row>
    <row r="387" spans="22:22" ht="20.100000000000001" customHeight="1" x14ac:dyDescent="0.25">
      <c r="V387" s="60"/>
    </row>
    <row r="388" spans="22:22" ht="20.100000000000001" customHeight="1" x14ac:dyDescent="0.25">
      <c r="V388" s="60"/>
    </row>
    <row r="389" spans="22:22" ht="20.100000000000001" customHeight="1" x14ac:dyDescent="0.25">
      <c r="V389" s="60"/>
    </row>
    <row r="390" spans="22:22" ht="20.100000000000001" customHeight="1" x14ac:dyDescent="0.25">
      <c r="V390" s="60"/>
    </row>
    <row r="391" spans="22:22" ht="20.100000000000001" customHeight="1" x14ac:dyDescent="0.25">
      <c r="V391" s="60"/>
    </row>
    <row r="392" spans="22:22" ht="20.100000000000001" customHeight="1" x14ac:dyDescent="0.25">
      <c r="V392" s="60"/>
    </row>
    <row r="393" spans="22:22" ht="20.100000000000001" customHeight="1" x14ac:dyDescent="0.25">
      <c r="V393" s="60"/>
    </row>
    <row r="394" spans="22:22" ht="20.100000000000001" customHeight="1" x14ac:dyDescent="0.25">
      <c r="V394" s="60"/>
    </row>
    <row r="395" spans="22:22" ht="20.100000000000001" customHeight="1" x14ac:dyDescent="0.25">
      <c r="V395" s="60"/>
    </row>
    <row r="396" spans="22:22" ht="20.100000000000001" customHeight="1" x14ac:dyDescent="0.25">
      <c r="V396" s="60"/>
    </row>
    <row r="397" spans="22:22" ht="20.100000000000001" customHeight="1" x14ac:dyDescent="0.25">
      <c r="V397" s="60"/>
    </row>
    <row r="398" spans="22:22" ht="20.100000000000001" customHeight="1" x14ac:dyDescent="0.25">
      <c r="V398" s="60"/>
    </row>
    <row r="399" spans="22:22" ht="20.100000000000001" customHeight="1" x14ac:dyDescent="0.25">
      <c r="V399" s="60"/>
    </row>
    <row r="400" spans="22:22" ht="20.100000000000001" customHeight="1" x14ac:dyDescent="0.25">
      <c r="V400" s="60"/>
    </row>
    <row r="401" spans="22:22" ht="20.100000000000001" customHeight="1" x14ac:dyDescent="0.25">
      <c r="V401" s="60"/>
    </row>
    <row r="402" spans="22:22" ht="20.100000000000001" customHeight="1" x14ac:dyDescent="0.25">
      <c r="V402" s="60"/>
    </row>
    <row r="403" spans="22:22" ht="20.100000000000001" customHeight="1" x14ac:dyDescent="0.25">
      <c r="V403" s="60"/>
    </row>
    <row r="404" spans="22:22" ht="20.100000000000001" customHeight="1" x14ac:dyDescent="0.25">
      <c r="V404" s="60"/>
    </row>
    <row r="405" spans="22:22" ht="20.100000000000001" customHeight="1" x14ac:dyDescent="0.25">
      <c r="V405" s="60"/>
    </row>
    <row r="406" spans="22:22" ht="20.100000000000001" customHeight="1" x14ac:dyDescent="0.25">
      <c r="V406" s="60"/>
    </row>
    <row r="407" spans="22:22" ht="20.100000000000001" customHeight="1" x14ac:dyDescent="0.25">
      <c r="V407" s="60"/>
    </row>
    <row r="408" spans="22:22" ht="20.100000000000001" customHeight="1" x14ac:dyDescent="0.25">
      <c r="V408" s="60"/>
    </row>
    <row r="409" spans="22:22" ht="20.100000000000001" customHeight="1" x14ac:dyDescent="0.25">
      <c r="V409" s="60"/>
    </row>
    <row r="410" spans="22:22" ht="20.100000000000001" customHeight="1" x14ac:dyDescent="0.25">
      <c r="V410" s="60"/>
    </row>
    <row r="411" spans="22:22" ht="20.100000000000001" customHeight="1" x14ac:dyDescent="0.25">
      <c r="V411" s="60"/>
    </row>
    <row r="412" spans="22:22" ht="20.100000000000001" customHeight="1" x14ac:dyDescent="0.25">
      <c r="V412" s="60"/>
    </row>
    <row r="413" spans="22:22" ht="20.100000000000001" customHeight="1" x14ac:dyDescent="0.25">
      <c r="V413" s="60"/>
    </row>
    <row r="414" spans="22:22" ht="20.100000000000001" customHeight="1" x14ac:dyDescent="0.25">
      <c r="V414" s="60"/>
    </row>
    <row r="415" spans="22:22" ht="20.100000000000001" customHeight="1" x14ac:dyDescent="0.25">
      <c r="V415" s="60"/>
    </row>
    <row r="416" spans="22:22" ht="20.100000000000001" customHeight="1" x14ac:dyDescent="0.25">
      <c r="V416" s="60"/>
    </row>
    <row r="417" spans="22:22" ht="20.100000000000001" customHeight="1" x14ac:dyDescent="0.25">
      <c r="V417" s="60"/>
    </row>
    <row r="418" spans="22:22" ht="20.100000000000001" customHeight="1" x14ac:dyDescent="0.25">
      <c r="V418" s="60"/>
    </row>
    <row r="419" spans="22:22" ht="20.100000000000001" customHeight="1" x14ac:dyDescent="0.25">
      <c r="V419" s="60"/>
    </row>
    <row r="420" spans="22:22" ht="20.100000000000001" customHeight="1" x14ac:dyDescent="0.25">
      <c r="V420" s="60"/>
    </row>
    <row r="421" spans="22:22" ht="20.100000000000001" customHeight="1" x14ac:dyDescent="0.25">
      <c r="V421" s="60"/>
    </row>
    <row r="422" spans="22:22" ht="20.100000000000001" customHeight="1" x14ac:dyDescent="0.25">
      <c r="V422" s="60"/>
    </row>
    <row r="423" spans="22:22" ht="20.100000000000001" customHeight="1" x14ac:dyDescent="0.25">
      <c r="V423" s="60"/>
    </row>
    <row r="424" spans="22:22" ht="20.100000000000001" customHeight="1" x14ac:dyDescent="0.25">
      <c r="V424" s="60"/>
    </row>
    <row r="425" spans="22:22" ht="20.100000000000001" customHeight="1" x14ac:dyDescent="0.25">
      <c r="V425" s="60"/>
    </row>
    <row r="426" spans="22:22" ht="20.100000000000001" customHeight="1" x14ac:dyDescent="0.25">
      <c r="V426" s="60"/>
    </row>
    <row r="427" spans="22:22" ht="20.100000000000001" customHeight="1" x14ac:dyDescent="0.25">
      <c r="V427" s="60"/>
    </row>
    <row r="428" spans="22:22" ht="20.100000000000001" customHeight="1" x14ac:dyDescent="0.25">
      <c r="V428" s="60"/>
    </row>
    <row r="429" spans="22:22" ht="20.100000000000001" customHeight="1" x14ac:dyDescent="0.25">
      <c r="V429" s="60"/>
    </row>
    <row r="430" spans="22:22" ht="20.100000000000001" customHeight="1" x14ac:dyDescent="0.25">
      <c r="V430" s="60"/>
    </row>
    <row r="431" spans="22:22" ht="20.100000000000001" customHeight="1" x14ac:dyDescent="0.25">
      <c r="V431" s="60"/>
    </row>
    <row r="432" spans="22:22" ht="20.100000000000001" customHeight="1" x14ac:dyDescent="0.25">
      <c r="V432" s="60"/>
    </row>
    <row r="433" spans="22:22" ht="20.100000000000001" customHeight="1" x14ac:dyDescent="0.25">
      <c r="V433" s="60"/>
    </row>
    <row r="434" spans="22:22" ht="20.100000000000001" customHeight="1" x14ac:dyDescent="0.25">
      <c r="V434" s="60"/>
    </row>
    <row r="435" spans="22:22" ht="20.100000000000001" customHeight="1" x14ac:dyDescent="0.25">
      <c r="V435" s="60"/>
    </row>
    <row r="436" spans="22:22" ht="20.100000000000001" customHeight="1" x14ac:dyDescent="0.25">
      <c r="V436" s="60"/>
    </row>
    <row r="437" spans="22:22" ht="20.100000000000001" customHeight="1" x14ac:dyDescent="0.25">
      <c r="V437" s="60"/>
    </row>
    <row r="438" spans="22:22" ht="20.100000000000001" customHeight="1" x14ac:dyDescent="0.25">
      <c r="V438" s="60"/>
    </row>
    <row r="439" spans="22:22" ht="20.100000000000001" customHeight="1" x14ac:dyDescent="0.25">
      <c r="V439" s="60"/>
    </row>
    <row r="440" spans="22:22" ht="20.100000000000001" customHeight="1" x14ac:dyDescent="0.25">
      <c r="V440" s="60"/>
    </row>
    <row r="441" spans="22:22" ht="20.100000000000001" customHeight="1" x14ac:dyDescent="0.25">
      <c r="V441" s="60"/>
    </row>
    <row r="442" spans="22:22" ht="20.100000000000001" customHeight="1" x14ac:dyDescent="0.25">
      <c r="V442" s="60"/>
    </row>
    <row r="443" spans="22:22" ht="20.100000000000001" customHeight="1" x14ac:dyDescent="0.25">
      <c r="V443" s="60"/>
    </row>
    <row r="444" spans="22:22" ht="20.100000000000001" customHeight="1" x14ac:dyDescent="0.25">
      <c r="V444" s="60"/>
    </row>
    <row r="445" spans="22:22" ht="20.100000000000001" customHeight="1" x14ac:dyDescent="0.25">
      <c r="V445" s="60"/>
    </row>
    <row r="446" spans="22:22" ht="20.100000000000001" customHeight="1" x14ac:dyDescent="0.25">
      <c r="V446" s="60"/>
    </row>
    <row r="447" spans="22:22" ht="20.100000000000001" customHeight="1" x14ac:dyDescent="0.25">
      <c r="V447" s="60"/>
    </row>
    <row r="448" spans="22:22" ht="20.100000000000001" customHeight="1" x14ac:dyDescent="0.25">
      <c r="V448" s="60"/>
    </row>
    <row r="449" spans="22:22" ht="20.100000000000001" customHeight="1" x14ac:dyDescent="0.25">
      <c r="V449" s="60"/>
    </row>
    <row r="450" spans="22:22" ht="20.100000000000001" customHeight="1" x14ac:dyDescent="0.25">
      <c r="V450" s="60"/>
    </row>
    <row r="451" spans="22:22" ht="20.100000000000001" customHeight="1" x14ac:dyDescent="0.25">
      <c r="V451" s="60"/>
    </row>
    <row r="452" spans="22:22" ht="20.100000000000001" customHeight="1" x14ac:dyDescent="0.25">
      <c r="V452" s="60"/>
    </row>
    <row r="453" spans="22:22" ht="20.100000000000001" customHeight="1" x14ac:dyDescent="0.25">
      <c r="V453" s="60"/>
    </row>
    <row r="454" spans="22:22" ht="20.100000000000001" customHeight="1" x14ac:dyDescent="0.25">
      <c r="V454" s="60"/>
    </row>
    <row r="455" spans="22:22" ht="20.100000000000001" customHeight="1" x14ac:dyDescent="0.25">
      <c r="V455" s="60"/>
    </row>
    <row r="456" spans="22:22" ht="20.100000000000001" customHeight="1" x14ac:dyDescent="0.25">
      <c r="V456" s="60"/>
    </row>
    <row r="457" spans="22:22" ht="20.100000000000001" customHeight="1" x14ac:dyDescent="0.25">
      <c r="V457" s="60"/>
    </row>
    <row r="458" spans="22:22" ht="20.100000000000001" customHeight="1" x14ac:dyDescent="0.25">
      <c r="V458" s="60"/>
    </row>
    <row r="459" spans="22:22" ht="20.100000000000001" customHeight="1" x14ac:dyDescent="0.25">
      <c r="V459" s="60"/>
    </row>
    <row r="460" spans="22:22" ht="20.100000000000001" customHeight="1" x14ac:dyDescent="0.25">
      <c r="V460" s="60"/>
    </row>
    <row r="461" spans="22:22" ht="20.100000000000001" customHeight="1" x14ac:dyDescent="0.25">
      <c r="V461" s="60"/>
    </row>
    <row r="462" spans="22:22" ht="20.100000000000001" customHeight="1" x14ac:dyDescent="0.25">
      <c r="V462" s="60"/>
    </row>
    <row r="463" spans="22:22" ht="20.100000000000001" customHeight="1" x14ac:dyDescent="0.25">
      <c r="V463" s="60"/>
    </row>
    <row r="464" spans="22:22" ht="20.100000000000001" customHeight="1" x14ac:dyDescent="0.25">
      <c r="V464" s="60"/>
    </row>
    <row r="465" spans="22:22" ht="20.100000000000001" customHeight="1" x14ac:dyDescent="0.25">
      <c r="V465" s="60"/>
    </row>
    <row r="466" spans="22:22" ht="20.100000000000001" customHeight="1" x14ac:dyDescent="0.25">
      <c r="V466" s="60"/>
    </row>
    <row r="467" spans="22:22" ht="20.100000000000001" customHeight="1" x14ac:dyDescent="0.25">
      <c r="V467" s="60"/>
    </row>
    <row r="468" spans="22:22" ht="20.100000000000001" customHeight="1" x14ac:dyDescent="0.25">
      <c r="V468" s="60"/>
    </row>
    <row r="469" spans="22:22" ht="20.100000000000001" customHeight="1" x14ac:dyDescent="0.25">
      <c r="V469" s="60"/>
    </row>
    <row r="470" spans="22:22" ht="20.100000000000001" customHeight="1" x14ac:dyDescent="0.25">
      <c r="V470" s="60"/>
    </row>
    <row r="471" spans="22:22" ht="20.100000000000001" customHeight="1" x14ac:dyDescent="0.25">
      <c r="V471" s="60"/>
    </row>
    <row r="472" spans="22:22" ht="20.100000000000001" customHeight="1" x14ac:dyDescent="0.25">
      <c r="V472" s="60"/>
    </row>
    <row r="473" spans="22:22" ht="20.100000000000001" customHeight="1" x14ac:dyDescent="0.25">
      <c r="V473" s="60"/>
    </row>
    <row r="474" spans="22:22" ht="20.100000000000001" customHeight="1" x14ac:dyDescent="0.25">
      <c r="V474" s="60"/>
    </row>
    <row r="475" spans="22:22" ht="20.100000000000001" customHeight="1" x14ac:dyDescent="0.25">
      <c r="V475" s="60"/>
    </row>
    <row r="476" spans="22:22" ht="20.100000000000001" customHeight="1" x14ac:dyDescent="0.25">
      <c r="V476" s="60"/>
    </row>
    <row r="477" spans="22:22" ht="20.100000000000001" customHeight="1" x14ac:dyDescent="0.25">
      <c r="V477" s="60"/>
    </row>
    <row r="478" spans="22:22" ht="20.100000000000001" customHeight="1" x14ac:dyDescent="0.25">
      <c r="V478" s="60"/>
    </row>
    <row r="479" spans="22:22" ht="20.100000000000001" customHeight="1" x14ac:dyDescent="0.25">
      <c r="V479" s="60"/>
    </row>
    <row r="480" spans="22:22" ht="20.100000000000001" customHeight="1" x14ac:dyDescent="0.25">
      <c r="V480" s="60"/>
    </row>
    <row r="481" spans="22:22" ht="20.100000000000001" customHeight="1" x14ac:dyDescent="0.25">
      <c r="V481" s="60"/>
    </row>
    <row r="482" spans="22:22" ht="20.100000000000001" customHeight="1" x14ac:dyDescent="0.25">
      <c r="V482" s="60"/>
    </row>
    <row r="483" spans="22:22" ht="20.100000000000001" customHeight="1" x14ac:dyDescent="0.25">
      <c r="V483" s="60"/>
    </row>
    <row r="484" spans="22:22" ht="20.100000000000001" customHeight="1" x14ac:dyDescent="0.25">
      <c r="V484" s="60"/>
    </row>
    <row r="485" spans="22:22" ht="20.100000000000001" customHeight="1" x14ac:dyDescent="0.25">
      <c r="V485" s="60"/>
    </row>
    <row r="486" spans="22:22" ht="20.100000000000001" customHeight="1" x14ac:dyDescent="0.25">
      <c r="V486" s="60"/>
    </row>
    <row r="487" spans="22:22" ht="20.100000000000001" customHeight="1" x14ac:dyDescent="0.25">
      <c r="V487" s="60"/>
    </row>
    <row r="488" spans="22:22" ht="20.100000000000001" customHeight="1" x14ac:dyDescent="0.25">
      <c r="V488" s="60"/>
    </row>
    <row r="489" spans="22:22" ht="20.100000000000001" customHeight="1" x14ac:dyDescent="0.25">
      <c r="V489" s="60"/>
    </row>
    <row r="490" spans="22:22" ht="20.100000000000001" customHeight="1" x14ac:dyDescent="0.25">
      <c r="V490" s="60"/>
    </row>
    <row r="491" spans="22:22" ht="20.100000000000001" customHeight="1" x14ac:dyDescent="0.25">
      <c r="V491" s="60"/>
    </row>
    <row r="492" spans="22:22" ht="20.100000000000001" customHeight="1" x14ac:dyDescent="0.25">
      <c r="V492" s="60"/>
    </row>
    <row r="493" spans="22:22" ht="20.100000000000001" customHeight="1" x14ac:dyDescent="0.25">
      <c r="V493" s="60"/>
    </row>
    <row r="494" spans="22:22" ht="20.100000000000001" customHeight="1" x14ac:dyDescent="0.25">
      <c r="V494" s="60"/>
    </row>
    <row r="495" spans="22:22" ht="20.100000000000001" customHeight="1" x14ac:dyDescent="0.25">
      <c r="V495" s="60"/>
    </row>
    <row r="496" spans="22:22" ht="20.100000000000001" customHeight="1" x14ac:dyDescent="0.25">
      <c r="V496" s="60"/>
    </row>
    <row r="497" spans="22:22" ht="20.100000000000001" customHeight="1" x14ac:dyDescent="0.25">
      <c r="V497" s="60"/>
    </row>
    <row r="498" spans="22:22" ht="20.100000000000001" customHeight="1" x14ac:dyDescent="0.25">
      <c r="V498" s="60"/>
    </row>
    <row r="499" spans="22:22" ht="20.100000000000001" customHeight="1" x14ac:dyDescent="0.25">
      <c r="V499" s="60"/>
    </row>
    <row r="500" spans="22:22" ht="20.100000000000001" customHeight="1" x14ac:dyDescent="0.25">
      <c r="V500" s="60"/>
    </row>
    <row r="501" spans="22:22" ht="20.100000000000001" customHeight="1" x14ac:dyDescent="0.25">
      <c r="V501" s="60"/>
    </row>
    <row r="502" spans="22:22" ht="20.100000000000001" customHeight="1" x14ac:dyDescent="0.25">
      <c r="V502" s="60"/>
    </row>
    <row r="503" spans="22:22" ht="20.100000000000001" customHeight="1" x14ac:dyDescent="0.25">
      <c r="V503" s="60"/>
    </row>
    <row r="504" spans="22:22" ht="20.100000000000001" customHeight="1" x14ac:dyDescent="0.25">
      <c r="V504" s="60"/>
    </row>
    <row r="505" spans="22:22" ht="20.100000000000001" customHeight="1" x14ac:dyDescent="0.25">
      <c r="V505" s="60"/>
    </row>
    <row r="506" spans="22:22" ht="20.100000000000001" customHeight="1" x14ac:dyDescent="0.25">
      <c r="V506" s="60"/>
    </row>
    <row r="507" spans="22:22" ht="20.100000000000001" customHeight="1" x14ac:dyDescent="0.25">
      <c r="V507" s="60"/>
    </row>
    <row r="508" spans="22:22" ht="20.100000000000001" customHeight="1" x14ac:dyDescent="0.25">
      <c r="V508" s="60"/>
    </row>
    <row r="509" spans="22:22" ht="20.100000000000001" customHeight="1" x14ac:dyDescent="0.25">
      <c r="V509" s="60"/>
    </row>
    <row r="510" spans="22:22" ht="20.100000000000001" customHeight="1" x14ac:dyDescent="0.25">
      <c r="V510" s="60"/>
    </row>
    <row r="511" spans="22:22" ht="20.100000000000001" customHeight="1" x14ac:dyDescent="0.25">
      <c r="V511" s="60"/>
    </row>
    <row r="512" spans="22:22" ht="20.100000000000001" customHeight="1" x14ac:dyDescent="0.25">
      <c r="V512" s="60"/>
    </row>
    <row r="513" spans="22:22" ht="20.100000000000001" customHeight="1" x14ac:dyDescent="0.25">
      <c r="V513" s="60"/>
    </row>
    <row r="514" spans="22:22" ht="20.100000000000001" customHeight="1" x14ac:dyDescent="0.25">
      <c r="V514" s="60"/>
    </row>
    <row r="515" spans="22:22" ht="20.100000000000001" customHeight="1" x14ac:dyDescent="0.25">
      <c r="V515" s="60"/>
    </row>
    <row r="516" spans="22:22" ht="20.100000000000001" customHeight="1" x14ac:dyDescent="0.25">
      <c r="V516" s="60"/>
    </row>
    <row r="517" spans="22:22" ht="20.100000000000001" customHeight="1" x14ac:dyDescent="0.25">
      <c r="V517" s="60"/>
    </row>
    <row r="518" spans="22:22" ht="20.100000000000001" customHeight="1" x14ac:dyDescent="0.25">
      <c r="V518" s="60"/>
    </row>
    <row r="519" spans="22:22" ht="20.100000000000001" customHeight="1" x14ac:dyDescent="0.25">
      <c r="V519" s="60"/>
    </row>
    <row r="520" spans="22:22" ht="20.100000000000001" customHeight="1" x14ac:dyDescent="0.25">
      <c r="V520" s="60"/>
    </row>
    <row r="521" spans="22:22" ht="20.100000000000001" customHeight="1" x14ac:dyDescent="0.25">
      <c r="V521" s="60"/>
    </row>
    <row r="522" spans="22:22" ht="20.100000000000001" customHeight="1" x14ac:dyDescent="0.25">
      <c r="V522" s="60"/>
    </row>
    <row r="523" spans="22:22" ht="20.100000000000001" customHeight="1" x14ac:dyDescent="0.25">
      <c r="V523" s="60"/>
    </row>
    <row r="524" spans="22:22" ht="20.100000000000001" customHeight="1" x14ac:dyDescent="0.25">
      <c r="V524" s="60"/>
    </row>
    <row r="525" spans="22:22" ht="20.100000000000001" customHeight="1" x14ac:dyDescent="0.25">
      <c r="V525" s="60"/>
    </row>
    <row r="526" spans="22:22" ht="20.100000000000001" customHeight="1" x14ac:dyDescent="0.25">
      <c r="V526" s="60"/>
    </row>
    <row r="527" spans="22:22" ht="20.100000000000001" customHeight="1" x14ac:dyDescent="0.25">
      <c r="V527" s="60"/>
    </row>
    <row r="528" spans="22:22" ht="20.100000000000001" customHeight="1" x14ac:dyDescent="0.25">
      <c r="V528" s="60"/>
    </row>
    <row r="529" spans="22:22" ht="20.100000000000001" customHeight="1" x14ac:dyDescent="0.25">
      <c r="V529" s="60"/>
    </row>
    <row r="530" spans="22:22" ht="20.100000000000001" customHeight="1" x14ac:dyDescent="0.25">
      <c r="V530" s="60"/>
    </row>
    <row r="531" spans="22:22" ht="20.100000000000001" customHeight="1" x14ac:dyDescent="0.25">
      <c r="V531" s="60"/>
    </row>
    <row r="532" spans="22:22" ht="20.100000000000001" customHeight="1" x14ac:dyDescent="0.25">
      <c r="V532" s="60"/>
    </row>
    <row r="533" spans="22:22" ht="20.100000000000001" customHeight="1" x14ac:dyDescent="0.25">
      <c r="V533" s="60"/>
    </row>
    <row r="534" spans="22:22" ht="20.100000000000001" customHeight="1" x14ac:dyDescent="0.25">
      <c r="V534" s="60"/>
    </row>
    <row r="535" spans="22:22" ht="20.100000000000001" customHeight="1" x14ac:dyDescent="0.25">
      <c r="V535" s="60"/>
    </row>
    <row r="536" spans="22:22" ht="20.100000000000001" customHeight="1" x14ac:dyDescent="0.25">
      <c r="V536" s="60"/>
    </row>
    <row r="537" spans="22:22" ht="20.100000000000001" customHeight="1" x14ac:dyDescent="0.25">
      <c r="V537" s="60"/>
    </row>
    <row r="538" spans="22:22" ht="20.100000000000001" customHeight="1" x14ac:dyDescent="0.25">
      <c r="V538" s="60"/>
    </row>
    <row r="539" spans="22:22" ht="20.100000000000001" customHeight="1" x14ac:dyDescent="0.25">
      <c r="V539" s="60"/>
    </row>
    <row r="540" spans="22:22" ht="20.100000000000001" customHeight="1" x14ac:dyDescent="0.25">
      <c r="V540" s="60"/>
    </row>
    <row r="541" spans="22:22" ht="20.100000000000001" customHeight="1" x14ac:dyDescent="0.25">
      <c r="V541" s="60"/>
    </row>
    <row r="542" spans="22:22" ht="20.100000000000001" customHeight="1" x14ac:dyDescent="0.25">
      <c r="V542" s="60"/>
    </row>
    <row r="543" spans="22:22" ht="20.100000000000001" customHeight="1" x14ac:dyDescent="0.25">
      <c r="V543" s="60"/>
    </row>
    <row r="544" spans="22:22" ht="20.100000000000001" customHeight="1" x14ac:dyDescent="0.25">
      <c r="V544" s="60"/>
    </row>
    <row r="545" spans="22:22" ht="20.100000000000001" customHeight="1" x14ac:dyDescent="0.25">
      <c r="V545" s="60"/>
    </row>
    <row r="546" spans="22:22" ht="20.100000000000001" customHeight="1" x14ac:dyDescent="0.25">
      <c r="V546" s="60"/>
    </row>
    <row r="547" spans="22:22" ht="20.100000000000001" customHeight="1" x14ac:dyDescent="0.25">
      <c r="V547" s="60"/>
    </row>
    <row r="548" spans="22:22" ht="20.100000000000001" customHeight="1" x14ac:dyDescent="0.25">
      <c r="V548" s="60"/>
    </row>
    <row r="549" spans="22:22" ht="20.100000000000001" customHeight="1" x14ac:dyDescent="0.25">
      <c r="V549" s="60"/>
    </row>
    <row r="550" spans="22:22" ht="20.100000000000001" customHeight="1" x14ac:dyDescent="0.25">
      <c r="V550" s="60"/>
    </row>
    <row r="551" spans="22:22" ht="20.100000000000001" customHeight="1" x14ac:dyDescent="0.25">
      <c r="V551" s="60"/>
    </row>
    <row r="552" spans="22:22" ht="20.100000000000001" customHeight="1" x14ac:dyDescent="0.25">
      <c r="V552" s="60"/>
    </row>
    <row r="553" spans="22:22" ht="20.100000000000001" customHeight="1" x14ac:dyDescent="0.25">
      <c r="V553" s="60"/>
    </row>
    <row r="554" spans="22:22" ht="20.100000000000001" customHeight="1" x14ac:dyDescent="0.25">
      <c r="V554" s="60"/>
    </row>
    <row r="555" spans="22:22" ht="20.100000000000001" customHeight="1" x14ac:dyDescent="0.25">
      <c r="V555" s="60"/>
    </row>
    <row r="556" spans="22:22" ht="20.100000000000001" customHeight="1" x14ac:dyDescent="0.25">
      <c r="V556" s="60"/>
    </row>
    <row r="557" spans="22:22" ht="20.100000000000001" customHeight="1" x14ac:dyDescent="0.25">
      <c r="V557" s="60"/>
    </row>
    <row r="558" spans="22:22" ht="20.100000000000001" customHeight="1" x14ac:dyDescent="0.25">
      <c r="V558" s="60"/>
    </row>
    <row r="559" spans="22:22" ht="20.100000000000001" customHeight="1" x14ac:dyDescent="0.25">
      <c r="V559" s="60"/>
    </row>
    <row r="560" spans="22:22" ht="20.100000000000001" customHeight="1" x14ac:dyDescent="0.25">
      <c r="V560" s="60"/>
    </row>
    <row r="561" spans="22:22" ht="20.100000000000001" customHeight="1" x14ac:dyDescent="0.25">
      <c r="V561" s="60"/>
    </row>
    <row r="562" spans="22:22" ht="20.100000000000001" customHeight="1" x14ac:dyDescent="0.25">
      <c r="V562" s="60"/>
    </row>
    <row r="563" spans="22:22" ht="20.100000000000001" customHeight="1" x14ac:dyDescent="0.25">
      <c r="V563" s="60"/>
    </row>
    <row r="564" spans="22:22" ht="20.100000000000001" customHeight="1" x14ac:dyDescent="0.25">
      <c r="V564" s="60"/>
    </row>
    <row r="565" spans="22:22" ht="20.100000000000001" customHeight="1" x14ac:dyDescent="0.25">
      <c r="V565" s="60"/>
    </row>
    <row r="566" spans="22:22" ht="20.100000000000001" customHeight="1" x14ac:dyDescent="0.25">
      <c r="V566" s="60"/>
    </row>
    <row r="567" spans="22:22" ht="20.100000000000001" customHeight="1" x14ac:dyDescent="0.25">
      <c r="V567" s="60"/>
    </row>
    <row r="568" spans="22:22" ht="20.100000000000001" customHeight="1" x14ac:dyDescent="0.25">
      <c r="V568" s="60"/>
    </row>
    <row r="569" spans="22:22" ht="20.100000000000001" customHeight="1" x14ac:dyDescent="0.25">
      <c r="V569" s="60"/>
    </row>
    <row r="570" spans="22:22" ht="20.100000000000001" customHeight="1" x14ac:dyDescent="0.25">
      <c r="V570" s="60"/>
    </row>
    <row r="571" spans="22:22" ht="20.100000000000001" customHeight="1" x14ac:dyDescent="0.25">
      <c r="V571" s="60"/>
    </row>
    <row r="572" spans="22:22" ht="20.100000000000001" customHeight="1" x14ac:dyDescent="0.25">
      <c r="V572" s="60"/>
    </row>
    <row r="573" spans="22:22" ht="20.100000000000001" customHeight="1" x14ac:dyDescent="0.25">
      <c r="V573" s="60"/>
    </row>
    <row r="574" spans="22:22" ht="20.100000000000001" customHeight="1" x14ac:dyDescent="0.25">
      <c r="V574" s="60"/>
    </row>
    <row r="575" spans="22:22" ht="20.100000000000001" customHeight="1" x14ac:dyDescent="0.25">
      <c r="V575" s="60"/>
    </row>
    <row r="576" spans="22:22" ht="20.100000000000001" customHeight="1" x14ac:dyDescent="0.25">
      <c r="V576" s="60"/>
    </row>
    <row r="577" spans="22:22" ht="20.100000000000001" customHeight="1" x14ac:dyDescent="0.25">
      <c r="V577" s="60"/>
    </row>
    <row r="578" spans="22:22" ht="20.100000000000001" customHeight="1" x14ac:dyDescent="0.25">
      <c r="V578" s="60"/>
    </row>
    <row r="579" spans="22:22" ht="20.100000000000001" customHeight="1" x14ac:dyDescent="0.25">
      <c r="V579" s="60"/>
    </row>
    <row r="580" spans="22:22" ht="20.100000000000001" customHeight="1" x14ac:dyDescent="0.25">
      <c r="V580" s="60"/>
    </row>
    <row r="581" spans="22:22" ht="20.100000000000001" customHeight="1" x14ac:dyDescent="0.25">
      <c r="V581" s="60"/>
    </row>
    <row r="582" spans="22:22" ht="20.100000000000001" customHeight="1" x14ac:dyDescent="0.25">
      <c r="V582" s="60"/>
    </row>
    <row r="583" spans="22:22" ht="20.100000000000001" customHeight="1" x14ac:dyDescent="0.25">
      <c r="V583" s="60"/>
    </row>
    <row r="584" spans="22:22" ht="20.100000000000001" customHeight="1" x14ac:dyDescent="0.25">
      <c r="V584" s="60"/>
    </row>
    <row r="585" spans="22:22" ht="20.100000000000001" customHeight="1" x14ac:dyDescent="0.25">
      <c r="V585" s="60"/>
    </row>
    <row r="586" spans="22:22" ht="20.100000000000001" customHeight="1" x14ac:dyDescent="0.25">
      <c r="V586" s="60"/>
    </row>
    <row r="587" spans="22:22" ht="20.100000000000001" customHeight="1" x14ac:dyDescent="0.25">
      <c r="V587" s="60"/>
    </row>
    <row r="588" spans="22:22" ht="20.100000000000001" customHeight="1" x14ac:dyDescent="0.25">
      <c r="V588" s="60"/>
    </row>
    <row r="589" spans="22:22" ht="20.100000000000001" customHeight="1" x14ac:dyDescent="0.25">
      <c r="V589" s="60"/>
    </row>
    <row r="590" spans="22:22" ht="20.100000000000001" customHeight="1" x14ac:dyDescent="0.25">
      <c r="V590" s="60"/>
    </row>
    <row r="591" spans="22:22" ht="20.100000000000001" customHeight="1" x14ac:dyDescent="0.25">
      <c r="V591" s="60"/>
    </row>
    <row r="592" spans="22:22" ht="20.100000000000001" customHeight="1" x14ac:dyDescent="0.25">
      <c r="V592" s="60"/>
    </row>
    <row r="593" spans="22:22" ht="20.100000000000001" customHeight="1" x14ac:dyDescent="0.25">
      <c r="V593" s="60"/>
    </row>
    <row r="594" spans="22:22" ht="20.100000000000001" customHeight="1" x14ac:dyDescent="0.25">
      <c r="V594" s="60"/>
    </row>
    <row r="595" spans="22:22" ht="20.100000000000001" customHeight="1" x14ac:dyDescent="0.25">
      <c r="V595" s="60"/>
    </row>
    <row r="596" spans="22:22" ht="20.100000000000001" customHeight="1" x14ac:dyDescent="0.25">
      <c r="V596" s="60"/>
    </row>
    <row r="597" spans="22:22" ht="20.100000000000001" customHeight="1" x14ac:dyDescent="0.25">
      <c r="V597" s="60"/>
    </row>
    <row r="598" spans="22:22" ht="20.100000000000001" customHeight="1" x14ac:dyDescent="0.25">
      <c r="V598" s="60"/>
    </row>
    <row r="599" spans="22:22" ht="20.100000000000001" customHeight="1" x14ac:dyDescent="0.25">
      <c r="V599" s="60"/>
    </row>
    <row r="600" spans="22:22" ht="20.100000000000001" customHeight="1" x14ac:dyDescent="0.25">
      <c r="V600" s="60"/>
    </row>
    <row r="601" spans="22:22" ht="20.100000000000001" customHeight="1" x14ac:dyDescent="0.25">
      <c r="V601" s="60"/>
    </row>
    <row r="602" spans="22:22" ht="20.100000000000001" customHeight="1" x14ac:dyDescent="0.25">
      <c r="V602" s="60"/>
    </row>
    <row r="603" spans="22:22" ht="20.100000000000001" customHeight="1" x14ac:dyDescent="0.25">
      <c r="V603" s="60"/>
    </row>
    <row r="604" spans="22:22" ht="20.100000000000001" customHeight="1" x14ac:dyDescent="0.25">
      <c r="V604" s="60"/>
    </row>
    <row r="605" spans="22:22" ht="20.100000000000001" customHeight="1" x14ac:dyDescent="0.25">
      <c r="V605" s="60"/>
    </row>
    <row r="606" spans="22:22" ht="20.100000000000001" customHeight="1" x14ac:dyDescent="0.25">
      <c r="V606" s="60"/>
    </row>
    <row r="607" spans="22:22" ht="20.100000000000001" customHeight="1" x14ac:dyDescent="0.25">
      <c r="V607" s="60"/>
    </row>
    <row r="608" spans="22:22" ht="20.100000000000001" customHeight="1" x14ac:dyDescent="0.25">
      <c r="V608" s="60"/>
    </row>
    <row r="609" spans="22:22" ht="20.100000000000001" customHeight="1" x14ac:dyDescent="0.25">
      <c r="V609" s="60"/>
    </row>
    <row r="610" spans="22:22" ht="20.100000000000001" customHeight="1" x14ac:dyDescent="0.25">
      <c r="V610" s="60"/>
    </row>
    <row r="611" spans="22:22" ht="20.100000000000001" customHeight="1" x14ac:dyDescent="0.25">
      <c r="V611" s="60"/>
    </row>
    <row r="612" spans="22:22" ht="20.100000000000001" customHeight="1" x14ac:dyDescent="0.25">
      <c r="V612" s="60"/>
    </row>
    <row r="613" spans="22:22" ht="20.100000000000001" customHeight="1" x14ac:dyDescent="0.25">
      <c r="V613" s="60"/>
    </row>
    <row r="614" spans="22:22" ht="20.100000000000001" customHeight="1" x14ac:dyDescent="0.25">
      <c r="V614" s="60"/>
    </row>
    <row r="615" spans="22:22" ht="20.100000000000001" customHeight="1" x14ac:dyDescent="0.25">
      <c r="V615" s="60"/>
    </row>
    <row r="616" spans="22:22" ht="20.100000000000001" customHeight="1" x14ac:dyDescent="0.25">
      <c r="V616" s="60"/>
    </row>
    <row r="617" spans="22:22" ht="20.100000000000001" customHeight="1" x14ac:dyDescent="0.25">
      <c r="V617" s="60"/>
    </row>
    <row r="618" spans="22:22" ht="20.100000000000001" customHeight="1" x14ac:dyDescent="0.25">
      <c r="V618" s="60"/>
    </row>
    <row r="619" spans="22:22" ht="20.100000000000001" customHeight="1" x14ac:dyDescent="0.25">
      <c r="V619" s="60"/>
    </row>
    <row r="620" spans="22:22" ht="20.100000000000001" customHeight="1" x14ac:dyDescent="0.25">
      <c r="V620" s="60"/>
    </row>
    <row r="621" spans="22:22" ht="20.100000000000001" customHeight="1" x14ac:dyDescent="0.25">
      <c r="V621" s="60"/>
    </row>
    <row r="622" spans="22:22" ht="20.100000000000001" customHeight="1" x14ac:dyDescent="0.25">
      <c r="V622" s="60"/>
    </row>
    <row r="623" spans="22:22" ht="20.100000000000001" customHeight="1" x14ac:dyDescent="0.25">
      <c r="V623" s="60"/>
    </row>
    <row r="624" spans="22:22" ht="20.100000000000001" customHeight="1" x14ac:dyDescent="0.25">
      <c r="V624" s="60"/>
    </row>
    <row r="625" spans="22:22" ht="20.100000000000001" customHeight="1" x14ac:dyDescent="0.25">
      <c r="V625" s="60"/>
    </row>
    <row r="626" spans="22:22" ht="20.100000000000001" customHeight="1" x14ac:dyDescent="0.25">
      <c r="V626" s="60"/>
    </row>
    <row r="627" spans="22:22" ht="20.100000000000001" customHeight="1" x14ac:dyDescent="0.25">
      <c r="V627" s="60"/>
    </row>
    <row r="628" spans="22:22" ht="20.100000000000001" customHeight="1" x14ac:dyDescent="0.25">
      <c r="V628" s="60"/>
    </row>
    <row r="629" spans="22:22" ht="20.100000000000001" customHeight="1" x14ac:dyDescent="0.25">
      <c r="V629" s="60"/>
    </row>
    <row r="630" spans="22:22" ht="20.100000000000001" customHeight="1" x14ac:dyDescent="0.25">
      <c r="V630" s="60"/>
    </row>
    <row r="631" spans="22:22" ht="20.100000000000001" customHeight="1" x14ac:dyDescent="0.25">
      <c r="V631" s="60"/>
    </row>
    <row r="632" spans="22:22" ht="20.100000000000001" customHeight="1" x14ac:dyDescent="0.25">
      <c r="V632" s="60"/>
    </row>
    <row r="633" spans="22:22" ht="20.100000000000001" customHeight="1" x14ac:dyDescent="0.25">
      <c r="V633" s="60"/>
    </row>
    <row r="634" spans="22:22" ht="20.100000000000001" customHeight="1" x14ac:dyDescent="0.25">
      <c r="V634" s="60"/>
    </row>
    <row r="635" spans="22:22" ht="20.100000000000001" customHeight="1" x14ac:dyDescent="0.25">
      <c r="V635" s="60"/>
    </row>
    <row r="636" spans="22:22" ht="20.100000000000001" customHeight="1" x14ac:dyDescent="0.25">
      <c r="V636" s="60"/>
    </row>
    <row r="637" spans="22:22" ht="20.100000000000001" customHeight="1" x14ac:dyDescent="0.25">
      <c r="V637" s="60"/>
    </row>
    <row r="638" spans="22:22" ht="20.100000000000001" customHeight="1" x14ac:dyDescent="0.25">
      <c r="V638" s="60"/>
    </row>
    <row r="639" spans="22:22" ht="20.100000000000001" customHeight="1" x14ac:dyDescent="0.25">
      <c r="V639" s="60"/>
    </row>
    <row r="640" spans="22:22" ht="20.100000000000001" customHeight="1" x14ac:dyDescent="0.25">
      <c r="V640" s="60"/>
    </row>
    <row r="641" spans="22:22" ht="20.100000000000001" customHeight="1" x14ac:dyDescent="0.25">
      <c r="V641" s="60"/>
    </row>
    <row r="642" spans="22:22" ht="20.100000000000001" customHeight="1" x14ac:dyDescent="0.25">
      <c r="V642" s="60"/>
    </row>
    <row r="643" spans="22:22" ht="20.100000000000001" customHeight="1" x14ac:dyDescent="0.25">
      <c r="V643" s="60"/>
    </row>
    <row r="644" spans="22:22" ht="20.100000000000001" customHeight="1" x14ac:dyDescent="0.25">
      <c r="V644" s="60"/>
    </row>
    <row r="645" spans="22:22" ht="20.100000000000001" customHeight="1" x14ac:dyDescent="0.25">
      <c r="V645" s="60"/>
    </row>
    <row r="646" spans="22:22" ht="20.100000000000001" customHeight="1" x14ac:dyDescent="0.25">
      <c r="V646" s="60"/>
    </row>
    <row r="647" spans="22:22" ht="20.100000000000001" customHeight="1" x14ac:dyDescent="0.25">
      <c r="V647" s="60"/>
    </row>
    <row r="648" spans="22:22" ht="20.100000000000001" customHeight="1" x14ac:dyDescent="0.25">
      <c r="V648" s="60"/>
    </row>
    <row r="649" spans="22:22" ht="20.100000000000001" customHeight="1" x14ac:dyDescent="0.25">
      <c r="V649" s="60"/>
    </row>
    <row r="650" spans="22:22" ht="20.100000000000001" customHeight="1" x14ac:dyDescent="0.25">
      <c r="V650" s="60"/>
    </row>
    <row r="651" spans="22:22" ht="20.100000000000001" customHeight="1" x14ac:dyDescent="0.25">
      <c r="V651" s="60"/>
    </row>
    <row r="652" spans="22:22" ht="20.100000000000001" customHeight="1" x14ac:dyDescent="0.25">
      <c r="V652" s="60"/>
    </row>
    <row r="653" spans="22:22" ht="20.100000000000001" customHeight="1" x14ac:dyDescent="0.25">
      <c r="V653" s="60"/>
    </row>
    <row r="654" spans="22:22" ht="20.100000000000001" customHeight="1" x14ac:dyDescent="0.25">
      <c r="V654" s="60"/>
    </row>
    <row r="655" spans="22:22" ht="20.100000000000001" customHeight="1" x14ac:dyDescent="0.25">
      <c r="V655" s="60"/>
    </row>
    <row r="656" spans="22:22" ht="20.100000000000001" customHeight="1" x14ac:dyDescent="0.25">
      <c r="V656" s="60"/>
    </row>
    <row r="657" spans="22:22" ht="20.100000000000001" customHeight="1" x14ac:dyDescent="0.25">
      <c r="V657" s="60"/>
    </row>
    <row r="658" spans="22:22" ht="20.100000000000001" customHeight="1" x14ac:dyDescent="0.25">
      <c r="V658" s="60"/>
    </row>
    <row r="659" spans="22:22" ht="20.100000000000001" customHeight="1" x14ac:dyDescent="0.25">
      <c r="V659" s="60"/>
    </row>
    <row r="660" spans="22:22" ht="20.100000000000001" customHeight="1" x14ac:dyDescent="0.25">
      <c r="V660" s="60"/>
    </row>
    <row r="661" spans="22:22" ht="20.100000000000001" customHeight="1" x14ac:dyDescent="0.25">
      <c r="V661" s="60"/>
    </row>
    <row r="662" spans="22:22" ht="20.100000000000001" customHeight="1" x14ac:dyDescent="0.25">
      <c r="V662" s="60"/>
    </row>
    <row r="663" spans="22:22" ht="20.100000000000001" customHeight="1" x14ac:dyDescent="0.25">
      <c r="V663" s="60"/>
    </row>
    <row r="664" spans="22:22" ht="20.100000000000001" customHeight="1" x14ac:dyDescent="0.25">
      <c r="V664" s="60"/>
    </row>
    <row r="665" spans="22:22" ht="20.100000000000001" customHeight="1" x14ac:dyDescent="0.25">
      <c r="V665" s="60"/>
    </row>
    <row r="666" spans="22:22" ht="20.100000000000001" customHeight="1" x14ac:dyDescent="0.25">
      <c r="V666" s="60"/>
    </row>
    <row r="667" spans="22:22" ht="20.100000000000001" customHeight="1" x14ac:dyDescent="0.25">
      <c r="V667" s="60"/>
    </row>
    <row r="668" spans="22:22" ht="20.100000000000001" customHeight="1" x14ac:dyDescent="0.25">
      <c r="V668" s="60"/>
    </row>
    <row r="669" spans="22:22" ht="20.100000000000001" customHeight="1" x14ac:dyDescent="0.25">
      <c r="V669" s="60"/>
    </row>
    <row r="670" spans="22:22" ht="20.100000000000001" customHeight="1" x14ac:dyDescent="0.25">
      <c r="V670" s="60"/>
    </row>
    <row r="671" spans="22:22" ht="20.100000000000001" customHeight="1" x14ac:dyDescent="0.25">
      <c r="V671" s="60"/>
    </row>
    <row r="672" spans="22:22" ht="20.100000000000001" customHeight="1" x14ac:dyDescent="0.25">
      <c r="V672" s="60"/>
    </row>
    <row r="673" spans="22:22" ht="20.100000000000001" customHeight="1" x14ac:dyDescent="0.25">
      <c r="V673" s="60"/>
    </row>
    <row r="674" spans="22:22" ht="20.100000000000001" customHeight="1" x14ac:dyDescent="0.25">
      <c r="V674" s="60"/>
    </row>
    <row r="675" spans="22:22" ht="20.100000000000001" customHeight="1" x14ac:dyDescent="0.25">
      <c r="V675" s="60"/>
    </row>
    <row r="676" spans="22:22" ht="20.100000000000001" customHeight="1" x14ac:dyDescent="0.25">
      <c r="V676" s="60"/>
    </row>
    <row r="677" spans="22:22" ht="20.100000000000001" customHeight="1" x14ac:dyDescent="0.25">
      <c r="V677" s="60"/>
    </row>
    <row r="678" spans="22:22" ht="20.100000000000001" customHeight="1" x14ac:dyDescent="0.25">
      <c r="V678" s="60"/>
    </row>
    <row r="679" spans="22:22" ht="20.100000000000001" customHeight="1" x14ac:dyDescent="0.25">
      <c r="V679" s="60"/>
    </row>
    <row r="680" spans="22:22" ht="20.100000000000001" customHeight="1" x14ac:dyDescent="0.25">
      <c r="V680" s="60"/>
    </row>
    <row r="681" spans="22:22" ht="20.100000000000001" customHeight="1" x14ac:dyDescent="0.25">
      <c r="V681" s="60"/>
    </row>
    <row r="682" spans="22:22" ht="20.100000000000001" customHeight="1" x14ac:dyDescent="0.25">
      <c r="V682" s="60"/>
    </row>
    <row r="683" spans="22:22" ht="20.100000000000001" customHeight="1" x14ac:dyDescent="0.25">
      <c r="V683" s="60"/>
    </row>
    <row r="684" spans="22:22" ht="20.100000000000001" customHeight="1" x14ac:dyDescent="0.25">
      <c r="V684" s="60"/>
    </row>
    <row r="685" spans="22:22" ht="20.100000000000001" customHeight="1" x14ac:dyDescent="0.25">
      <c r="V685" s="60"/>
    </row>
    <row r="686" spans="22:22" ht="20.100000000000001" customHeight="1" x14ac:dyDescent="0.25">
      <c r="V686" s="60"/>
    </row>
    <row r="687" spans="22:22" ht="20.100000000000001" customHeight="1" x14ac:dyDescent="0.25">
      <c r="V687" s="60"/>
    </row>
    <row r="688" spans="22:22" ht="20.100000000000001" customHeight="1" x14ac:dyDescent="0.25">
      <c r="V688" s="60"/>
    </row>
    <row r="689" spans="22:22" ht="20.100000000000001" customHeight="1" x14ac:dyDescent="0.25">
      <c r="V689" s="60"/>
    </row>
    <row r="690" spans="22:22" ht="20.100000000000001" customHeight="1" x14ac:dyDescent="0.25">
      <c r="V690" s="60"/>
    </row>
    <row r="691" spans="22:22" ht="20.100000000000001" customHeight="1" x14ac:dyDescent="0.25">
      <c r="V691" s="60"/>
    </row>
    <row r="692" spans="22:22" ht="20.100000000000001" customHeight="1" x14ac:dyDescent="0.25">
      <c r="V692" s="60"/>
    </row>
    <row r="693" spans="22:22" ht="20.100000000000001" customHeight="1" x14ac:dyDescent="0.25">
      <c r="V693" s="60"/>
    </row>
    <row r="694" spans="22:22" ht="20.100000000000001" customHeight="1" x14ac:dyDescent="0.25">
      <c r="V694" s="60"/>
    </row>
    <row r="695" spans="22:22" ht="20.100000000000001" customHeight="1" x14ac:dyDescent="0.25">
      <c r="V695" s="60"/>
    </row>
    <row r="696" spans="22:22" ht="20.100000000000001" customHeight="1" x14ac:dyDescent="0.25">
      <c r="V696" s="60"/>
    </row>
    <row r="697" spans="22:22" ht="20.100000000000001" customHeight="1" x14ac:dyDescent="0.25">
      <c r="V697" s="60"/>
    </row>
    <row r="698" spans="22:22" ht="20.100000000000001" customHeight="1" x14ac:dyDescent="0.25">
      <c r="V698" s="60"/>
    </row>
    <row r="699" spans="22:22" ht="20.100000000000001" customHeight="1" x14ac:dyDescent="0.25">
      <c r="V699" s="60"/>
    </row>
    <row r="700" spans="22:22" ht="20.100000000000001" customHeight="1" x14ac:dyDescent="0.25">
      <c r="V700" s="60"/>
    </row>
    <row r="701" spans="22:22" ht="20.100000000000001" customHeight="1" x14ac:dyDescent="0.25">
      <c r="V701" s="60"/>
    </row>
    <row r="702" spans="22:22" ht="20.100000000000001" customHeight="1" x14ac:dyDescent="0.25">
      <c r="V702" s="60"/>
    </row>
    <row r="703" spans="22:22" ht="20.100000000000001" customHeight="1" x14ac:dyDescent="0.25">
      <c r="V703" s="60"/>
    </row>
    <row r="704" spans="22:22" ht="20.100000000000001" customHeight="1" x14ac:dyDescent="0.25">
      <c r="V704" s="60"/>
    </row>
    <row r="705" spans="22:22" ht="20.100000000000001" customHeight="1" x14ac:dyDescent="0.25">
      <c r="V705" s="60"/>
    </row>
    <row r="706" spans="22:22" ht="20.100000000000001" customHeight="1" x14ac:dyDescent="0.25">
      <c r="V706" s="60"/>
    </row>
    <row r="707" spans="22:22" ht="20.100000000000001" customHeight="1" x14ac:dyDescent="0.25">
      <c r="V707" s="60"/>
    </row>
    <row r="708" spans="22:22" ht="20.100000000000001" customHeight="1" x14ac:dyDescent="0.25">
      <c r="V708" s="60"/>
    </row>
    <row r="709" spans="22:22" ht="20.100000000000001" customHeight="1" x14ac:dyDescent="0.25">
      <c r="V709" s="60"/>
    </row>
    <row r="710" spans="22:22" ht="20.100000000000001" customHeight="1" x14ac:dyDescent="0.25">
      <c r="V710" s="60"/>
    </row>
    <row r="711" spans="22:22" ht="20.100000000000001" customHeight="1" x14ac:dyDescent="0.25">
      <c r="V711" s="60"/>
    </row>
    <row r="712" spans="22:22" ht="20.100000000000001" customHeight="1" x14ac:dyDescent="0.25">
      <c r="V712" s="60"/>
    </row>
    <row r="713" spans="22:22" ht="20.100000000000001" customHeight="1" x14ac:dyDescent="0.25">
      <c r="V713" s="60"/>
    </row>
    <row r="714" spans="22:22" ht="20.100000000000001" customHeight="1" x14ac:dyDescent="0.25">
      <c r="V714" s="60"/>
    </row>
    <row r="715" spans="22:22" ht="20.100000000000001" customHeight="1" x14ac:dyDescent="0.25">
      <c r="V715" s="60"/>
    </row>
    <row r="716" spans="22:22" ht="20.100000000000001" customHeight="1" x14ac:dyDescent="0.25">
      <c r="V716" s="60"/>
    </row>
    <row r="717" spans="22:22" ht="20.100000000000001" customHeight="1" x14ac:dyDescent="0.25">
      <c r="V717" s="60"/>
    </row>
    <row r="718" spans="22:22" ht="20.100000000000001" customHeight="1" x14ac:dyDescent="0.25">
      <c r="V718" s="60"/>
    </row>
    <row r="719" spans="22:22" ht="20.100000000000001" customHeight="1" x14ac:dyDescent="0.25">
      <c r="V719" s="60"/>
    </row>
    <row r="720" spans="22:22" ht="20.100000000000001" customHeight="1" x14ac:dyDescent="0.25">
      <c r="V720" s="60"/>
    </row>
    <row r="721" spans="22:22" ht="20.100000000000001" customHeight="1" x14ac:dyDescent="0.25">
      <c r="V721" s="60"/>
    </row>
    <row r="722" spans="22:22" ht="20.100000000000001" customHeight="1" x14ac:dyDescent="0.25">
      <c r="V722" s="60"/>
    </row>
    <row r="723" spans="22:22" ht="20.100000000000001" customHeight="1" x14ac:dyDescent="0.25">
      <c r="V723" s="60"/>
    </row>
    <row r="724" spans="22:22" ht="20.100000000000001" customHeight="1" x14ac:dyDescent="0.25">
      <c r="V724" s="60"/>
    </row>
    <row r="725" spans="22:22" ht="20.100000000000001" customHeight="1" x14ac:dyDescent="0.25">
      <c r="V725" s="60"/>
    </row>
    <row r="726" spans="22:22" ht="20.100000000000001" customHeight="1" x14ac:dyDescent="0.25">
      <c r="V726" s="60"/>
    </row>
    <row r="727" spans="22:22" ht="20.100000000000001" customHeight="1" x14ac:dyDescent="0.25">
      <c r="V727" s="60"/>
    </row>
    <row r="728" spans="22:22" ht="20.100000000000001" customHeight="1" x14ac:dyDescent="0.25">
      <c r="V728" s="60"/>
    </row>
    <row r="729" spans="22:22" ht="20.100000000000001" customHeight="1" x14ac:dyDescent="0.25">
      <c r="V729" s="60"/>
    </row>
    <row r="730" spans="22:22" ht="20.100000000000001" customHeight="1" x14ac:dyDescent="0.25">
      <c r="V730" s="60"/>
    </row>
    <row r="731" spans="22:22" ht="20.100000000000001" customHeight="1" x14ac:dyDescent="0.25">
      <c r="V731" s="60"/>
    </row>
    <row r="732" spans="22:22" ht="20.100000000000001" customHeight="1" x14ac:dyDescent="0.25">
      <c r="V732" s="60"/>
    </row>
    <row r="733" spans="22:22" ht="20.100000000000001" customHeight="1" x14ac:dyDescent="0.25">
      <c r="V733" s="60"/>
    </row>
    <row r="734" spans="22:22" ht="20.100000000000001" customHeight="1" x14ac:dyDescent="0.25">
      <c r="V734" s="60"/>
    </row>
    <row r="735" spans="22:22" ht="20.100000000000001" customHeight="1" x14ac:dyDescent="0.25">
      <c r="V735" s="60"/>
    </row>
    <row r="736" spans="22:22" ht="20.100000000000001" customHeight="1" x14ac:dyDescent="0.25">
      <c r="V736" s="60"/>
    </row>
    <row r="737" spans="22:22" ht="20.100000000000001" customHeight="1" x14ac:dyDescent="0.25">
      <c r="V737" s="60"/>
    </row>
    <row r="738" spans="22:22" ht="20.100000000000001" customHeight="1" x14ac:dyDescent="0.25">
      <c r="V738" s="60"/>
    </row>
    <row r="739" spans="22:22" ht="20.100000000000001" customHeight="1" x14ac:dyDescent="0.25">
      <c r="V739" s="60"/>
    </row>
    <row r="740" spans="22:22" ht="20.100000000000001" customHeight="1" x14ac:dyDescent="0.25">
      <c r="V740" s="60"/>
    </row>
    <row r="741" spans="22:22" ht="20.100000000000001" customHeight="1" x14ac:dyDescent="0.25">
      <c r="V741" s="60"/>
    </row>
    <row r="742" spans="22:22" ht="20.100000000000001" customHeight="1" x14ac:dyDescent="0.25">
      <c r="V742" s="60"/>
    </row>
    <row r="743" spans="22:22" ht="20.100000000000001" customHeight="1" x14ac:dyDescent="0.25">
      <c r="V743" s="60"/>
    </row>
    <row r="744" spans="22:22" ht="20.100000000000001" customHeight="1" x14ac:dyDescent="0.25">
      <c r="V744" s="60"/>
    </row>
    <row r="745" spans="22:22" ht="20.100000000000001" customHeight="1" x14ac:dyDescent="0.25">
      <c r="V745" s="60"/>
    </row>
    <row r="746" spans="22:22" ht="20.100000000000001" customHeight="1" x14ac:dyDescent="0.25">
      <c r="V746" s="60"/>
    </row>
    <row r="747" spans="22:22" ht="20.100000000000001" customHeight="1" x14ac:dyDescent="0.25">
      <c r="V747" s="60"/>
    </row>
    <row r="748" spans="22:22" ht="20.100000000000001" customHeight="1" x14ac:dyDescent="0.25">
      <c r="V748" s="60"/>
    </row>
    <row r="749" spans="22:22" ht="20.100000000000001" customHeight="1" x14ac:dyDescent="0.25">
      <c r="V749" s="60"/>
    </row>
    <row r="750" spans="22:22" ht="20.100000000000001" customHeight="1" x14ac:dyDescent="0.25">
      <c r="V750" s="60"/>
    </row>
    <row r="751" spans="22:22" ht="20.100000000000001" customHeight="1" x14ac:dyDescent="0.25">
      <c r="V751" s="60"/>
    </row>
    <row r="752" spans="22:22" ht="20.100000000000001" customHeight="1" x14ac:dyDescent="0.25">
      <c r="V752" s="60"/>
    </row>
    <row r="753" spans="22:22" ht="20.100000000000001" customHeight="1" x14ac:dyDescent="0.25">
      <c r="V753" s="60"/>
    </row>
    <row r="754" spans="22:22" ht="20.100000000000001" customHeight="1" x14ac:dyDescent="0.25">
      <c r="V754" s="60"/>
    </row>
    <row r="755" spans="22:22" ht="20.100000000000001" customHeight="1" x14ac:dyDescent="0.25">
      <c r="V755" s="60"/>
    </row>
    <row r="756" spans="22:22" ht="20.100000000000001" customHeight="1" x14ac:dyDescent="0.25">
      <c r="V756" s="60"/>
    </row>
    <row r="757" spans="22:22" ht="20.100000000000001" customHeight="1" x14ac:dyDescent="0.25">
      <c r="V757" s="60"/>
    </row>
    <row r="758" spans="22:22" ht="20.100000000000001" customHeight="1" x14ac:dyDescent="0.25">
      <c r="V758" s="60"/>
    </row>
    <row r="759" spans="22:22" ht="20.100000000000001" customHeight="1" x14ac:dyDescent="0.25">
      <c r="V759" s="60"/>
    </row>
    <row r="760" spans="22:22" ht="20.100000000000001" customHeight="1" x14ac:dyDescent="0.25">
      <c r="V760" s="60"/>
    </row>
    <row r="761" spans="22:22" ht="20.100000000000001" customHeight="1" x14ac:dyDescent="0.25">
      <c r="V761" s="60"/>
    </row>
    <row r="762" spans="22:22" ht="20.100000000000001" customHeight="1" x14ac:dyDescent="0.25">
      <c r="V762" s="60"/>
    </row>
    <row r="763" spans="22:22" ht="20.100000000000001" customHeight="1" x14ac:dyDescent="0.25">
      <c r="V763" s="60"/>
    </row>
    <row r="764" spans="22:22" ht="20.100000000000001" customHeight="1" x14ac:dyDescent="0.25">
      <c r="V764" s="60"/>
    </row>
    <row r="765" spans="22:22" ht="20.100000000000001" customHeight="1" x14ac:dyDescent="0.25">
      <c r="V765" s="60"/>
    </row>
    <row r="766" spans="22:22" ht="20.100000000000001" customHeight="1" x14ac:dyDescent="0.25">
      <c r="V766" s="60"/>
    </row>
    <row r="767" spans="22:22" ht="20.100000000000001" customHeight="1" x14ac:dyDescent="0.25">
      <c r="V767" s="60"/>
    </row>
    <row r="768" spans="22:22" ht="20.100000000000001" customHeight="1" x14ac:dyDescent="0.25">
      <c r="V768" s="60"/>
    </row>
    <row r="769" spans="22:22" ht="20.100000000000001" customHeight="1" x14ac:dyDescent="0.25">
      <c r="V769" s="60"/>
    </row>
    <row r="770" spans="22:22" ht="20.100000000000001" customHeight="1" x14ac:dyDescent="0.25">
      <c r="V770" s="60"/>
    </row>
    <row r="771" spans="22:22" ht="20.100000000000001" customHeight="1" x14ac:dyDescent="0.25">
      <c r="V771" s="60"/>
    </row>
    <row r="772" spans="22:22" ht="20.100000000000001" customHeight="1" x14ac:dyDescent="0.25">
      <c r="V772" s="60"/>
    </row>
    <row r="773" spans="22:22" ht="20.100000000000001" customHeight="1" x14ac:dyDescent="0.25">
      <c r="V773" s="60"/>
    </row>
    <row r="774" spans="22:22" ht="20.100000000000001" customHeight="1" x14ac:dyDescent="0.25">
      <c r="V774" s="60"/>
    </row>
    <row r="775" spans="22:22" ht="20.100000000000001" customHeight="1" x14ac:dyDescent="0.25">
      <c r="V775" s="60"/>
    </row>
    <row r="776" spans="22:22" ht="20.100000000000001" customHeight="1" x14ac:dyDescent="0.25">
      <c r="V776" s="60"/>
    </row>
    <row r="777" spans="22:22" ht="20.100000000000001" customHeight="1" x14ac:dyDescent="0.25">
      <c r="V777" s="60"/>
    </row>
    <row r="778" spans="22:22" ht="20.100000000000001" customHeight="1" x14ac:dyDescent="0.25">
      <c r="V778" s="60"/>
    </row>
    <row r="779" spans="22:22" ht="20.100000000000001" customHeight="1" x14ac:dyDescent="0.25">
      <c r="V779" s="60"/>
    </row>
    <row r="780" spans="22:22" ht="20.100000000000001" customHeight="1" x14ac:dyDescent="0.25">
      <c r="V780" s="60"/>
    </row>
    <row r="781" spans="22:22" ht="20.100000000000001" customHeight="1" x14ac:dyDescent="0.25">
      <c r="V781" s="60"/>
    </row>
    <row r="782" spans="22:22" ht="20.100000000000001" customHeight="1" x14ac:dyDescent="0.25">
      <c r="V782" s="60"/>
    </row>
    <row r="783" spans="22:22" ht="20.100000000000001" customHeight="1" x14ac:dyDescent="0.25">
      <c r="V783" s="60"/>
    </row>
    <row r="784" spans="22:22" ht="20.100000000000001" customHeight="1" x14ac:dyDescent="0.25">
      <c r="V784" s="60"/>
    </row>
    <row r="785" spans="22:22" ht="20.100000000000001" customHeight="1" x14ac:dyDescent="0.25">
      <c r="V785" s="60"/>
    </row>
    <row r="786" spans="22:22" ht="20.100000000000001" customHeight="1" x14ac:dyDescent="0.25">
      <c r="V786" s="60"/>
    </row>
    <row r="787" spans="22:22" ht="20.100000000000001" customHeight="1" x14ac:dyDescent="0.25">
      <c r="V787" s="60"/>
    </row>
    <row r="788" spans="22:22" ht="20.100000000000001" customHeight="1" x14ac:dyDescent="0.25">
      <c r="V788" s="60"/>
    </row>
    <row r="789" spans="22:22" ht="20.100000000000001" customHeight="1" x14ac:dyDescent="0.25">
      <c r="V789" s="60"/>
    </row>
    <row r="790" spans="22:22" ht="20.100000000000001" customHeight="1" x14ac:dyDescent="0.25">
      <c r="V790" s="60"/>
    </row>
    <row r="791" spans="22:22" ht="20.100000000000001" customHeight="1" x14ac:dyDescent="0.25">
      <c r="V791" s="60"/>
    </row>
    <row r="792" spans="22:22" ht="20.100000000000001" customHeight="1" x14ac:dyDescent="0.25">
      <c r="V792" s="60"/>
    </row>
    <row r="793" spans="22:22" ht="20.100000000000001" customHeight="1" x14ac:dyDescent="0.25">
      <c r="V793" s="60"/>
    </row>
    <row r="794" spans="22:22" ht="20.100000000000001" customHeight="1" x14ac:dyDescent="0.25">
      <c r="V794" s="60"/>
    </row>
    <row r="795" spans="22:22" ht="20.100000000000001" customHeight="1" x14ac:dyDescent="0.25">
      <c r="V795" s="60"/>
    </row>
    <row r="796" spans="22:22" ht="20.100000000000001" customHeight="1" x14ac:dyDescent="0.25">
      <c r="V796" s="60"/>
    </row>
    <row r="797" spans="22:22" ht="20.100000000000001" customHeight="1" x14ac:dyDescent="0.25">
      <c r="V797" s="60"/>
    </row>
    <row r="798" spans="22:22" ht="20.100000000000001" customHeight="1" x14ac:dyDescent="0.25">
      <c r="V798" s="60"/>
    </row>
    <row r="799" spans="22:22" ht="20.100000000000001" customHeight="1" x14ac:dyDescent="0.25">
      <c r="V799" s="60"/>
    </row>
    <row r="800" spans="22:22" ht="20.100000000000001" customHeight="1" x14ac:dyDescent="0.25">
      <c r="V800" s="60"/>
    </row>
    <row r="801" spans="22:22" ht="20.100000000000001" customHeight="1" x14ac:dyDescent="0.25">
      <c r="V801" s="60"/>
    </row>
    <row r="802" spans="22:22" ht="20.100000000000001" customHeight="1" x14ac:dyDescent="0.25">
      <c r="V802" s="60"/>
    </row>
    <row r="803" spans="22:22" ht="20.100000000000001" customHeight="1" x14ac:dyDescent="0.25">
      <c r="V803" s="60"/>
    </row>
    <row r="804" spans="22:22" ht="20.100000000000001" customHeight="1" x14ac:dyDescent="0.25">
      <c r="V804" s="60"/>
    </row>
    <row r="805" spans="22:22" ht="20.100000000000001" customHeight="1" x14ac:dyDescent="0.25">
      <c r="V805" s="60"/>
    </row>
    <row r="806" spans="22:22" ht="20.100000000000001" customHeight="1" x14ac:dyDescent="0.25">
      <c r="V806" s="60"/>
    </row>
    <row r="807" spans="22:22" ht="20.100000000000001" customHeight="1" x14ac:dyDescent="0.25">
      <c r="V807" s="60"/>
    </row>
    <row r="808" spans="22:22" ht="20.100000000000001" customHeight="1" x14ac:dyDescent="0.25">
      <c r="V808" s="60"/>
    </row>
    <row r="809" spans="22:22" ht="20.100000000000001" customHeight="1" x14ac:dyDescent="0.25">
      <c r="V809" s="60"/>
    </row>
    <row r="810" spans="22:22" ht="20.100000000000001" customHeight="1" x14ac:dyDescent="0.25">
      <c r="V810" s="60"/>
    </row>
    <row r="811" spans="22:22" ht="20.100000000000001" customHeight="1" x14ac:dyDescent="0.25">
      <c r="V811" s="60"/>
    </row>
    <row r="812" spans="22:22" ht="20.100000000000001" customHeight="1" x14ac:dyDescent="0.25">
      <c r="V812" s="60"/>
    </row>
    <row r="813" spans="22:22" ht="20.100000000000001" customHeight="1" x14ac:dyDescent="0.25">
      <c r="V813" s="60"/>
    </row>
    <row r="814" spans="22:22" ht="20.100000000000001" customHeight="1" x14ac:dyDescent="0.25">
      <c r="V814" s="60"/>
    </row>
    <row r="815" spans="22:22" ht="20.100000000000001" customHeight="1" x14ac:dyDescent="0.25">
      <c r="V815" s="60"/>
    </row>
    <row r="816" spans="22:22" ht="20.100000000000001" customHeight="1" x14ac:dyDescent="0.25">
      <c r="V816" s="60"/>
    </row>
    <row r="817" spans="22:22" ht="20.100000000000001" customHeight="1" x14ac:dyDescent="0.25">
      <c r="V817" s="60"/>
    </row>
    <row r="818" spans="22:22" ht="20.100000000000001" customHeight="1" x14ac:dyDescent="0.25">
      <c r="V818" s="60"/>
    </row>
    <row r="819" spans="22:22" ht="20.100000000000001" customHeight="1" x14ac:dyDescent="0.25">
      <c r="V819" s="60"/>
    </row>
    <row r="820" spans="22:22" ht="20.100000000000001" customHeight="1" x14ac:dyDescent="0.25">
      <c r="V820" s="60"/>
    </row>
    <row r="821" spans="22:22" ht="20.100000000000001" customHeight="1" x14ac:dyDescent="0.25">
      <c r="V821" s="60"/>
    </row>
    <row r="822" spans="22:22" ht="20.100000000000001" customHeight="1" x14ac:dyDescent="0.25">
      <c r="V822" s="60"/>
    </row>
    <row r="823" spans="22:22" ht="20.100000000000001" customHeight="1" x14ac:dyDescent="0.25">
      <c r="V823" s="60"/>
    </row>
    <row r="824" spans="22:22" ht="20.100000000000001" customHeight="1" x14ac:dyDescent="0.25">
      <c r="V824" s="60"/>
    </row>
    <row r="825" spans="22:22" ht="20.100000000000001" customHeight="1" x14ac:dyDescent="0.25">
      <c r="V825" s="60"/>
    </row>
    <row r="826" spans="22:22" ht="20.100000000000001" customHeight="1" x14ac:dyDescent="0.25">
      <c r="V826" s="60"/>
    </row>
    <row r="827" spans="22:22" ht="20.100000000000001" customHeight="1" x14ac:dyDescent="0.25">
      <c r="V827" s="60"/>
    </row>
    <row r="828" spans="22:22" ht="20.100000000000001" customHeight="1" x14ac:dyDescent="0.25">
      <c r="V828" s="60"/>
    </row>
    <row r="829" spans="22:22" ht="20.100000000000001" customHeight="1" x14ac:dyDescent="0.25">
      <c r="V829" s="60"/>
    </row>
    <row r="830" spans="22:22" ht="20.100000000000001" customHeight="1" x14ac:dyDescent="0.25">
      <c r="V830" s="60"/>
    </row>
    <row r="831" spans="22:22" ht="20.100000000000001" customHeight="1" x14ac:dyDescent="0.25">
      <c r="V831" s="60"/>
    </row>
    <row r="832" spans="22:22" ht="20.100000000000001" customHeight="1" x14ac:dyDescent="0.25">
      <c r="V832" s="60"/>
    </row>
    <row r="833" spans="22:22" ht="20.100000000000001" customHeight="1" x14ac:dyDescent="0.25">
      <c r="V833" s="60"/>
    </row>
    <row r="834" spans="22:22" ht="20.100000000000001" customHeight="1" x14ac:dyDescent="0.25">
      <c r="V834" s="60"/>
    </row>
    <row r="835" spans="22:22" ht="20.100000000000001" customHeight="1" x14ac:dyDescent="0.25">
      <c r="V835" s="60"/>
    </row>
    <row r="836" spans="22:22" ht="20.100000000000001" customHeight="1" x14ac:dyDescent="0.25">
      <c r="V836" s="60"/>
    </row>
    <row r="837" spans="22:22" ht="20.100000000000001" customHeight="1" x14ac:dyDescent="0.25">
      <c r="V837" s="60"/>
    </row>
    <row r="838" spans="22:22" ht="20.100000000000001" customHeight="1" x14ac:dyDescent="0.25">
      <c r="V838" s="60"/>
    </row>
    <row r="839" spans="22:22" ht="20.100000000000001" customHeight="1" x14ac:dyDescent="0.25">
      <c r="V839" s="60"/>
    </row>
    <row r="840" spans="22:22" ht="20.100000000000001" customHeight="1" x14ac:dyDescent="0.25">
      <c r="V840" s="60"/>
    </row>
    <row r="841" spans="22:22" ht="20.100000000000001" customHeight="1" x14ac:dyDescent="0.25">
      <c r="V841" s="60"/>
    </row>
    <row r="842" spans="22:22" ht="20.100000000000001" customHeight="1" x14ac:dyDescent="0.25">
      <c r="V842" s="60"/>
    </row>
    <row r="843" spans="22:22" ht="20.100000000000001" customHeight="1" x14ac:dyDescent="0.25">
      <c r="V843" s="60"/>
    </row>
    <row r="844" spans="22:22" ht="20.100000000000001" customHeight="1" x14ac:dyDescent="0.25">
      <c r="V844" s="60"/>
    </row>
    <row r="845" spans="22:22" ht="20.100000000000001" customHeight="1" x14ac:dyDescent="0.25">
      <c r="V845" s="60"/>
    </row>
    <row r="846" spans="22:22" ht="20.100000000000001" customHeight="1" x14ac:dyDescent="0.25">
      <c r="V846" s="60"/>
    </row>
    <row r="847" spans="22:22" ht="20.100000000000001" customHeight="1" x14ac:dyDescent="0.25">
      <c r="V847" s="60"/>
    </row>
    <row r="848" spans="22:22" ht="20.100000000000001" customHeight="1" x14ac:dyDescent="0.25">
      <c r="V848" s="60"/>
    </row>
    <row r="849" spans="22:22" ht="20.100000000000001" customHeight="1" x14ac:dyDescent="0.25">
      <c r="V849" s="60"/>
    </row>
    <row r="850" spans="22:22" ht="20.100000000000001" customHeight="1" x14ac:dyDescent="0.25">
      <c r="V850" s="60"/>
    </row>
    <row r="851" spans="22:22" ht="20.100000000000001" customHeight="1" x14ac:dyDescent="0.25">
      <c r="V851" s="60"/>
    </row>
    <row r="852" spans="22:22" ht="20.100000000000001" customHeight="1" x14ac:dyDescent="0.25">
      <c r="V852" s="60"/>
    </row>
    <row r="853" spans="22:22" ht="20.100000000000001" customHeight="1" x14ac:dyDescent="0.25">
      <c r="V853" s="60"/>
    </row>
    <row r="854" spans="22:22" ht="20.100000000000001" customHeight="1" x14ac:dyDescent="0.25">
      <c r="V854" s="60"/>
    </row>
    <row r="855" spans="22:22" ht="20.100000000000001" customHeight="1" x14ac:dyDescent="0.25">
      <c r="V855" s="60"/>
    </row>
    <row r="856" spans="22:22" ht="20.100000000000001" customHeight="1" x14ac:dyDescent="0.25">
      <c r="V856" s="60"/>
    </row>
    <row r="857" spans="22:22" ht="20.100000000000001" customHeight="1" x14ac:dyDescent="0.25">
      <c r="V857" s="60"/>
    </row>
    <row r="858" spans="22:22" ht="20.100000000000001" customHeight="1" x14ac:dyDescent="0.25">
      <c r="V858" s="60"/>
    </row>
    <row r="859" spans="22:22" ht="20.100000000000001" customHeight="1" x14ac:dyDescent="0.25">
      <c r="V859" s="60"/>
    </row>
    <row r="860" spans="22:22" ht="20.100000000000001" customHeight="1" x14ac:dyDescent="0.25">
      <c r="V860" s="60"/>
    </row>
    <row r="861" spans="22:22" ht="20.100000000000001" customHeight="1" x14ac:dyDescent="0.25">
      <c r="V861" s="60"/>
    </row>
    <row r="862" spans="22:22" ht="20.100000000000001" customHeight="1" x14ac:dyDescent="0.25">
      <c r="V862" s="60"/>
    </row>
    <row r="863" spans="22:22" ht="20.100000000000001" customHeight="1" x14ac:dyDescent="0.25">
      <c r="V863" s="60"/>
    </row>
    <row r="864" spans="22:22" ht="20.100000000000001" customHeight="1" x14ac:dyDescent="0.25">
      <c r="V864" s="60"/>
    </row>
    <row r="865" spans="22:22" ht="20.100000000000001" customHeight="1" x14ac:dyDescent="0.25">
      <c r="V865" s="60"/>
    </row>
    <row r="866" spans="22:22" ht="20.100000000000001" customHeight="1" x14ac:dyDescent="0.25">
      <c r="V866" s="60"/>
    </row>
    <row r="867" spans="22:22" ht="20.100000000000001" customHeight="1" x14ac:dyDescent="0.25">
      <c r="V867" s="60"/>
    </row>
    <row r="868" spans="22:22" ht="20.100000000000001" customHeight="1" x14ac:dyDescent="0.25">
      <c r="V868" s="60"/>
    </row>
    <row r="869" spans="22:22" ht="20.100000000000001" customHeight="1" x14ac:dyDescent="0.25">
      <c r="V869" s="60"/>
    </row>
    <row r="870" spans="22:22" ht="20.100000000000001" customHeight="1" x14ac:dyDescent="0.25">
      <c r="V870" s="60"/>
    </row>
    <row r="871" spans="22:22" ht="20.100000000000001" customHeight="1" x14ac:dyDescent="0.25">
      <c r="V871" s="60"/>
    </row>
    <row r="872" spans="22:22" ht="20.100000000000001" customHeight="1" x14ac:dyDescent="0.25">
      <c r="V872" s="60"/>
    </row>
    <row r="873" spans="22:22" ht="20.100000000000001" customHeight="1" x14ac:dyDescent="0.25">
      <c r="V873" s="60"/>
    </row>
    <row r="874" spans="22:22" ht="20.100000000000001" customHeight="1" x14ac:dyDescent="0.25">
      <c r="V874" s="60"/>
    </row>
    <row r="875" spans="22:22" ht="20.100000000000001" customHeight="1" x14ac:dyDescent="0.25">
      <c r="V875" s="60"/>
    </row>
    <row r="876" spans="22:22" ht="20.100000000000001" customHeight="1" x14ac:dyDescent="0.25">
      <c r="V876" s="60"/>
    </row>
    <row r="877" spans="22:22" ht="20.100000000000001" customHeight="1" x14ac:dyDescent="0.25">
      <c r="V877" s="60"/>
    </row>
    <row r="878" spans="22:22" ht="20.100000000000001" customHeight="1" x14ac:dyDescent="0.25">
      <c r="V878" s="60"/>
    </row>
    <row r="879" spans="22:22" ht="20.100000000000001" customHeight="1" x14ac:dyDescent="0.25">
      <c r="V879" s="60"/>
    </row>
    <row r="880" spans="22:22" ht="20.100000000000001" customHeight="1" x14ac:dyDescent="0.25">
      <c r="V880" s="60"/>
    </row>
    <row r="881" spans="22:22" ht="20.100000000000001" customHeight="1" x14ac:dyDescent="0.25">
      <c r="V881" s="60"/>
    </row>
    <row r="882" spans="22:22" ht="20.100000000000001" customHeight="1" x14ac:dyDescent="0.25">
      <c r="V882" s="60"/>
    </row>
    <row r="883" spans="22:22" ht="20.100000000000001" customHeight="1" x14ac:dyDescent="0.25">
      <c r="V883" s="60"/>
    </row>
    <row r="884" spans="22:22" ht="20.100000000000001" customHeight="1" x14ac:dyDescent="0.25">
      <c r="V884" s="60"/>
    </row>
    <row r="885" spans="22:22" ht="20.100000000000001" customHeight="1" x14ac:dyDescent="0.25">
      <c r="V885" s="60"/>
    </row>
    <row r="886" spans="22:22" ht="20.100000000000001" customHeight="1" x14ac:dyDescent="0.25">
      <c r="V886" s="60"/>
    </row>
    <row r="887" spans="22:22" ht="20.100000000000001" customHeight="1" x14ac:dyDescent="0.25">
      <c r="V887" s="60"/>
    </row>
    <row r="888" spans="22:22" ht="20.100000000000001" customHeight="1" x14ac:dyDescent="0.25">
      <c r="V888" s="60"/>
    </row>
    <row r="889" spans="22:22" ht="20.100000000000001" customHeight="1" x14ac:dyDescent="0.25">
      <c r="V889" s="60"/>
    </row>
    <row r="890" spans="22:22" ht="20.100000000000001" customHeight="1" x14ac:dyDescent="0.25">
      <c r="V890" s="60"/>
    </row>
    <row r="891" spans="22:22" ht="20.100000000000001" customHeight="1" x14ac:dyDescent="0.25">
      <c r="V891" s="60"/>
    </row>
    <row r="892" spans="22:22" ht="20.100000000000001" customHeight="1" x14ac:dyDescent="0.25">
      <c r="V892" s="60"/>
    </row>
    <row r="893" spans="22:22" ht="20.100000000000001" customHeight="1" x14ac:dyDescent="0.25">
      <c r="V893" s="60"/>
    </row>
    <row r="894" spans="22:22" ht="20.100000000000001" customHeight="1" x14ac:dyDescent="0.25">
      <c r="V894" s="60"/>
    </row>
    <row r="895" spans="22:22" ht="20.100000000000001" customHeight="1" x14ac:dyDescent="0.25">
      <c r="V895" s="60"/>
    </row>
    <row r="896" spans="22:22" ht="20.100000000000001" customHeight="1" x14ac:dyDescent="0.25">
      <c r="V896" s="60"/>
    </row>
    <row r="897" spans="22:22" ht="20.100000000000001" customHeight="1" x14ac:dyDescent="0.25">
      <c r="V897" s="60"/>
    </row>
    <row r="898" spans="22:22" ht="20.100000000000001" customHeight="1" x14ac:dyDescent="0.25">
      <c r="V898" s="60"/>
    </row>
    <row r="899" spans="22:22" ht="20.100000000000001" customHeight="1" x14ac:dyDescent="0.25">
      <c r="V899" s="60"/>
    </row>
    <row r="900" spans="22:22" ht="20.100000000000001" customHeight="1" x14ac:dyDescent="0.25">
      <c r="V900" s="60"/>
    </row>
    <row r="901" spans="22:22" ht="20.100000000000001" customHeight="1" x14ac:dyDescent="0.25">
      <c r="V901" s="60"/>
    </row>
    <row r="902" spans="22:22" ht="20.100000000000001" customHeight="1" x14ac:dyDescent="0.25">
      <c r="V902" s="60"/>
    </row>
    <row r="903" spans="22:22" ht="20.100000000000001" customHeight="1" x14ac:dyDescent="0.25">
      <c r="V903" s="60"/>
    </row>
    <row r="904" spans="22:22" ht="20.100000000000001" customHeight="1" x14ac:dyDescent="0.25">
      <c r="V904" s="60"/>
    </row>
    <row r="905" spans="22:22" ht="20.100000000000001" customHeight="1" x14ac:dyDescent="0.25">
      <c r="V905" s="60"/>
    </row>
    <row r="906" spans="22:22" ht="20.100000000000001" customHeight="1" x14ac:dyDescent="0.25">
      <c r="V906" s="60"/>
    </row>
    <row r="907" spans="22:22" ht="20.100000000000001" customHeight="1" x14ac:dyDescent="0.25">
      <c r="V907" s="60"/>
    </row>
    <row r="908" spans="22:22" ht="20.100000000000001" customHeight="1" x14ac:dyDescent="0.25">
      <c r="V908" s="60"/>
    </row>
    <row r="909" spans="22:22" ht="20.100000000000001" customHeight="1" x14ac:dyDescent="0.25">
      <c r="V909" s="60"/>
    </row>
    <row r="910" spans="22:22" ht="20.100000000000001" customHeight="1" x14ac:dyDescent="0.25">
      <c r="V910" s="60"/>
    </row>
    <row r="911" spans="22:22" ht="20.100000000000001" customHeight="1" x14ac:dyDescent="0.25">
      <c r="V911" s="60"/>
    </row>
    <row r="912" spans="22:22" ht="20.100000000000001" customHeight="1" x14ac:dyDescent="0.25">
      <c r="V912" s="60"/>
    </row>
    <row r="913" spans="22:22" ht="20.100000000000001" customHeight="1" x14ac:dyDescent="0.25">
      <c r="V913" s="60"/>
    </row>
    <row r="914" spans="22:22" ht="20.100000000000001" customHeight="1" x14ac:dyDescent="0.25">
      <c r="V914" s="60"/>
    </row>
    <row r="915" spans="22:22" ht="20.100000000000001" customHeight="1" x14ac:dyDescent="0.25">
      <c r="V915" s="60"/>
    </row>
    <row r="916" spans="22:22" ht="20.100000000000001" customHeight="1" x14ac:dyDescent="0.25">
      <c r="V916" s="60"/>
    </row>
    <row r="917" spans="22:22" ht="20.100000000000001" customHeight="1" x14ac:dyDescent="0.25">
      <c r="V917" s="60"/>
    </row>
    <row r="918" spans="22:22" ht="20.100000000000001" customHeight="1" x14ac:dyDescent="0.25">
      <c r="V918" s="60"/>
    </row>
    <row r="919" spans="22:22" ht="20.100000000000001" customHeight="1" x14ac:dyDescent="0.25">
      <c r="V919" s="60"/>
    </row>
    <row r="920" spans="22:22" ht="20.100000000000001" customHeight="1" x14ac:dyDescent="0.25">
      <c r="V920" s="60"/>
    </row>
    <row r="921" spans="22:22" ht="20.100000000000001" customHeight="1" x14ac:dyDescent="0.25">
      <c r="V921" s="60"/>
    </row>
    <row r="922" spans="22:22" ht="20.100000000000001" customHeight="1" x14ac:dyDescent="0.25">
      <c r="V922" s="60"/>
    </row>
    <row r="923" spans="22:22" ht="20.100000000000001" customHeight="1" x14ac:dyDescent="0.25">
      <c r="V923" s="60"/>
    </row>
    <row r="924" spans="22:22" ht="20.100000000000001" customHeight="1" x14ac:dyDescent="0.25">
      <c r="V924" s="60"/>
    </row>
    <row r="925" spans="22:22" ht="20.100000000000001" customHeight="1" x14ac:dyDescent="0.25">
      <c r="V925" s="60"/>
    </row>
    <row r="926" spans="22:22" ht="20.100000000000001" customHeight="1" x14ac:dyDescent="0.25">
      <c r="V926" s="60"/>
    </row>
    <row r="927" spans="22:22" ht="20.100000000000001" customHeight="1" x14ac:dyDescent="0.25">
      <c r="V927" s="60"/>
    </row>
    <row r="928" spans="22:22" ht="20.100000000000001" customHeight="1" x14ac:dyDescent="0.25">
      <c r="V928" s="60"/>
    </row>
    <row r="929" spans="22:22" ht="20.100000000000001" customHeight="1" x14ac:dyDescent="0.25">
      <c r="V929" s="60"/>
    </row>
    <row r="930" spans="22:22" ht="20.100000000000001" customHeight="1" x14ac:dyDescent="0.25">
      <c r="V930" s="60"/>
    </row>
    <row r="931" spans="22:22" ht="20.100000000000001" customHeight="1" x14ac:dyDescent="0.25">
      <c r="V931" s="60"/>
    </row>
    <row r="932" spans="22:22" ht="20.100000000000001" customHeight="1" x14ac:dyDescent="0.25">
      <c r="V932" s="60"/>
    </row>
    <row r="933" spans="22:22" ht="20.100000000000001" customHeight="1" x14ac:dyDescent="0.25">
      <c r="V933" s="60"/>
    </row>
    <row r="934" spans="22:22" ht="20.100000000000001" customHeight="1" x14ac:dyDescent="0.25">
      <c r="V934" s="60"/>
    </row>
    <row r="935" spans="22:22" ht="20.100000000000001" customHeight="1" x14ac:dyDescent="0.25">
      <c r="V935" s="60"/>
    </row>
    <row r="936" spans="22:22" ht="20.100000000000001" customHeight="1" x14ac:dyDescent="0.25">
      <c r="V936" s="60"/>
    </row>
    <row r="937" spans="22:22" ht="20.100000000000001" customHeight="1" x14ac:dyDescent="0.25">
      <c r="V937" s="60"/>
    </row>
    <row r="938" spans="22:22" ht="20.100000000000001" customHeight="1" x14ac:dyDescent="0.25">
      <c r="V938" s="60"/>
    </row>
    <row r="939" spans="22:22" ht="20.100000000000001" customHeight="1" x14ac:dyDescent="0.25">
      <c r="V939" s="60"/>
    </row>
    <row r="940" spans="22:22" ht="20.100000000000001" customHeight="1" x14ac:dyDescent="0.25">
      <c r="V940" s="60"/>
    </row>
    <row r="941" spans="22:22" ht="20.100000000000001" customHeight="1" x14ac:dyDescent="0.25">
      <c r="V941" s="60"/>
    </row>
    <row r="942" spans="22:22" ht="20.100000000000001" customHeight="1" x14ac:dyDescent="0.25">
      <c r="V942" s="60"/>
    </row>
    <row r="943" spans="22:22" ht="20.100000000000001" customHeight="1" x14ac:dyDescent="0.25">
      <c r="V943" s="60"/>
    </row>
    <row r="944" spans="22:22" ht="20.100000000000001" customHeight="1" x14ac:dyDescent="0.25">
      <c r="V944" s="60"/>
    </row>
    <row r="945" spans="22:22" ht="20.100000000000001" customHeight="1" x14ac:dyDescent="0.25">
      <c r="V945" s="60"/>
    </row>
    <row r="946" spans="22:22" ht="20.100000000000001" customHeight="1" x14ac:dyDescent="0.25">
      <c r="V946" s="60"/>
    </row>
    <row r="947" spans="22:22" ht="20.100000000000001" customHeight="1" x14ac:dyDescent="0.25">
      <c r="V947" s="60"/>
    </row>
    <row r="948" spans="22:22" ht="20.100000000000001" customHeight="1" x14ac:dyDescent="0.25">
      <c r="V948" s="60"/>
    </row>
    <row r="949" spans="22:22" ht="20.100000000000001" customHeight="1" x14ac:dyDescent="0.25">
      <c r="V949" s="60"/>
    </row>
    <row r="950" spans="22:22" ht="20.100000000000001" customHeight="1" x14ac:dyDescent="0.25">
      <c r="V950" s="60"/>
    </row>
    <row r="951" spans="22:22" ht="20.100000000000001" customHeight="1" x14ac:dyDescent="0.25">
      <c r="V951" s="60"/>
    </row>
    <row r="952" spans="22:22" ht="20.100000000000001" customHeight="1" x14ac:dyDescent="0.25">
      <c r="V952" s="60"/>
    </row>
    <row r="953" spans="22:22" ht="20.100000000000001" customHeight="1" x14ac:dyDescent="0.25">
      <c r="V953" s="60"/>
    </row>
    <row r="954" spans="22:22" ht="20.100000000000001" customHeight="1" x14ac:dyDescent="0.25">
      <c r="V954" s="60"/>
    </row>
    <row r="955" spans="22:22" ht="20.100000000000001" customHeight="1" x14ac:dyDescent="0.25">
      <c r="V955" s="60"/>
    </row>
    <row r="956" spans="22:22" ht="20.100000000000001" customHeight="1" x14ac:dyDescent="0.25">
      <c r="V956" s="60"/>
    </row>
    <row r="957" spans="22:22" ht="20.100000000000001" customHeight="1" x14ac:dyDescent="0.25">
      <c r="V957" s="60"/>
    </row>
    <row r="958" spans="22:22" ht="20.100000000000001" customHeight="1" x14ac:dyDescent="0.25">
      <c r="V958" s="60"/>
    </row>
    <row r="959" spans="22:22" ht="20.100000000000001" customHeight="1" x14ac:dyDescent="0.25">
      <c r="V959" s="60"/>
    </row>
    <row r="960" spans="22:22" ht="20.100000000000001" customHeight="1" x14ac:dyDescent="0.25">
      <c r="V960" s="60"/>
    </row>
    <row r="961" spans="22:22" ht="20.100000000000001" customHeight="1" x14ac:dyDescent="0.25">
      <c r="V961" s="60"/>
    </row>
    <row r="962" spans="22:22" ht="20.100000000000001" customHeight="1" x14ac:dyDescent="0.25">
      <c r="V962" s="60"/>
    </row>
    <row r="963" spans="22:22" ht="20.100000000000001" customHeight="1" x14ac:dyDescent="0.25">
      <c r="V963" s="60"/>
    </row>
    <row r="964" spans="22:22" ht="20.100000000000001" customHeight="1" x14ac:dyDescent="0.25">
      <c r="V964" s="60"/>
    </row>
    <row r="965" spans="22:22" ht="20.100000000000001" customHeight="1" x14ac:dyDescent="0.25">
      <c r="V965" s="60"/>
    </row>
    <row r="966" spans="22:22" ht="20.100000000000001" customHeight="1" x14ac:dyDescent="0.25">
      <c r="V966" s="60"/>
    </row>
    <row r="967" spans="22:22" ht="20.100000000000001" customHeight="1" x14ac:dyDescent="0.25">
      <c r="V967" s="60"/>
    </row>
    <row r="968" spans="22:22" ht="20.100000000000001" customHeight="1" x14ac:dyDescent="0.25">
      <c r="V968" s="60"/>
    </row>
    <row r="969" spans="22:22" ht="20.100000000000001" customHeight="1" x14ac:dyDescent="0.25">
      <c r="V969" s="60"/>
    </row>
    <row r="970" spans="22:22" ht="20.100000000000001" customHeight="1" x14ac:dyDescent="0.25">
      <c r="V970" s="60"/>
    </row>
    <row r="971" spans="22:22" ht="20.100000000000001" customHeight="1" x14ac:dyDescent="0.25">
      <c r="V971" s="60"/>
    </row>
    <row r="972" spans="22:22" ht="20.100000000000001" customHeight="1" x14ac:dyDescent="0.25">
      <c r="V972" s="60"/>
    </row>
    <row r="973" spans="22:22" ht="20.100000000000001" customHeight="1" x14ac:dyDescent="0.25">
      <c r="V973" s="60"/>
    </row>
    <row r="974" spans="22:22" ht="20.100000000000001" customHeight="1" x14ac:dyDescent="0.25">
      <c r="V974" s="60"/>
    </row>
    <row r="975" spans="22:22" ht="20.100000000000001" customHeight="1" x14ac:dyDescent="0.25">
      <c r="V975" s="60"/>
    </row>
    <row r="976" spans="22:22" ht="20.100000000000001" customHeight="1" x14ac:dyDescent="0.25">
      <c r="V976" s="60"/>
    </row>
    <row r="977" spans="22:22" ht="20.100000000000001" customHeight="1" x14ac:dyDescent="0.25">
      <c r="V977" s="60"/>
    </row>
    <row r="978" spans="22:22" ht="20.100000000000001" customHeight="1" x14ac:dyDescent="0.25">
      <c r="V978" s="60"/>
    </row>
    <row r="979" spans="22:22" ht="20.100000000000001" customHeight="1" x14ac:dyDescent="0.25">
      <c r="V979" s="60"/>
    </row>
    <row r="980" spans="22:22" ht="20.100000000000001" customHeight="1" x14ac:dyDescent="0.25">
      <c r="V980" s="60"/>
    </row>
    <row r="981" spans="22:22" ht="20.100000000000001" customHeight="1" x14ac:dyDescent="0.25">
      <c r="V981" s="60"/>
    </row>
    <row r="982" spans="22:22" ht="20.100000000000001" customHeight="1" x14ac:dyDescent="0.25">
      <c r="V982" s="60"/>
    </row>
    <row r="983" spans="22:22" ht="20.100000000000001" customHeight="1" x14ac:dyDescent="0.25">
      <c r="V983" s="60"/>
    </row>
    <row r="984" spans="22:22" ht="20.100000000000001" customHeight="1" x14ac:dyDescent="0.25">
      <c r="V984" s="60"/>
    </row>
    <row r="985" spans="22:22" ht="20.100000000000001" customHeight="1" x14ac:dyDescent="0.25">
      <c r="V985" s="60"/>
    </row>
    <row r="986" spans="22:22" ht="20.100000000000001" customHeight="1" x14ac:dyDescent="0.25">
      <c r="V986" s="60"/>
    </row>
    <row r="987" spans="22:22" ht="20.100000000000001" customHeight="1" x14ac:dyDescent="0.25">
      <c r="V987" s="60"/>
    </row>
    <row r="988" spans="22:22" ht="20.100000000000001" customHeight="1" x14ac:dyDescent="0.25">
      <c r="V988" s="60"/>
    </row>
    <row r="989" spans="22:22" ht="20.100000000000001" customHeight="1" x14ac:dyDescent="0.25">
      <c r="V989" s="60"/>
    </row>
    <row r="990" spans="22:22" ht="20.100000000000001" customHeight="1" x14ac:dyDescent="0.25">
      <c r="V990" s="60"/>
    </row>
    <row r="991" spans="22:22" ht="20.100000000000001" customHeight="1" x14ac:dyDescent="0.25">
      <c r="V991" s="60"/>
    </row>
    <row r="992" spans="22:22" ht="20.100000000000001" customHeight="1" x14ac:dyDescent="0.25">
      <c r="V992" s="60"/>
    </row>
    <row r="993" spans="22:22" ht="20.100000000000001" customHeight="1" x14ac:dyDescent="0.25">
      <c r="V993" s="60"/>
    </row>
    <row r="994" spans="22:22" ht="20.100000000000001" customHeight="1" x14ac:dyDescent="0.25">
      <c r="V994" s="60"/>
    </row>
    <row r="995" spans="22:22" ht="20.100000000000001" customHeight="1" x14ac:dyDescent="0.25">
      <c r="V995" s="60"/>
    </row>
    <row r="996" spans="22:22" ht="20.100000000000001" customHeight="1" x14ac:dyDescent="0.25">
      <c r="V996" s="60"/>
    </row>
    <row r="997" spans="22:22" ht="20.100000000000001" customHeight="1" x14ac:dyDescent="0.25">
      <c r="V997" s="60"/>
    </row>
    <row r="998" spans="22:22" ht="20.100000000000001" customHeight="1" x14ac:dyDescent="0.25">
      <c r="V998" s="60"/>
    </row>
    <row r="999" spans="22:22" ht="20.100000000000001" customHeight="1" x14ac:dyDescent="0.25">
      <c r="V999" s="60"/>
    </row>
    <row r="1000" spans="22:22" ht="20.100000000000001" customHeight="1" x14ac:dyDescent="0.25">
      <c r="V1000" s="60"/>
    </row>
    <row r="1001" spans="22:22" ht="20.100000000000001" customHeight="1" x14ac:dyDescent="0.25">
      <c r="V1001" s="60"/>
    </row>
    <row r="1002" spans="22:22" ht="20.100000000000001" customHeight="1" x14ac:dyDescent="0.25">
      <c r="V1002" s="60"/>
    </row>
    <row r="1003" spans="22:22" ht="20.100000000000001" customHeight="1" x14ac:dyDescent="0.25">
      <c r="V1003" s="60"/>
    </row>
    <row r="1004" spans="22:22" ht="20.100000000000001" customHeight="1" x14ac:dyDescent="0.25">
      <c r="V1004" s="60"/>
    </row>
    <row r="1005" spans="22:22" ht="20.100000000000001" customHeight="1" x14ac:dyDescent="0.25">
      <c r="V1005" s="60"/>
    </row>
    <row r="1006" spans="22:22" ht="20.100000000000001" customHeight="1" x14ac:dyDescent="0.25">
      <c r="V1006" s="60"/>
    </row>
    <row r="1007" spans="22:22" ht="20.100000000000001" customHeight="1" x14ac:dyDescent="0.25">
      <c r="V1007" s="60"/>
    </row>
    <row r="1008" spans="22:22" ht="20.100000000000001" customHeight="1" x14ac:dyDescent="0.25">
      <c r="V1008" s="60"/>
    </row>
    <row r="1009" spans="22:22" ht="20.100000000000001" customHeight="1" x14ac:dyDescent="0.25">
      <c r="V1009" s="60"/>
    </row>
    <row r="1010" spans="22:22" ht="20.100000000000001" customHeight="1" x14ac:dyDescent="0.25">
      <c r="V1010" s="60"/>
    </row>
    <row r="1011" spans="22:22" ht="20.100000000000001" customHeight="1" x14ac:dyDescent="0.25">
      <c r="V1011" s="60"/>
    </row>
    <row r="1012" spans="22:22" ht="20.100000000000001" customHeight="1" x14ac:dyDescent="0.25">
      <c r="V1012" s="60"/>
    </row>
    <row r="1013" spans="22:22" ht="20.100000000000001" customHeight="1" x14ac:dyDescent="0.25">
      <c r="V1013" s="60"/>
    </row>
    <row r="1014" spans="22:22" ht="20.100000000000001" customHeight="1" x14ac:dyDescent="0.25">
      <c r="V1014" s="60"/>
    </row>
    <row r="1015" spans="22:22" ht="20.100000000000001" customHeight="1" x14ac:dyDescent="0.25">
      <c r="V1015" s="60"/>
    </row>
    <row r="1016" spans="22:22" ht="20.100000000000001" customHeight="1" x14ac:dyDescent="0.25">
      <c r="V1016" s="60"/>
    </row>
    <row r="1017" spans="22:22" ht="20.100000000000001" customHeight="1" x14ac:dyDescent="0.25">
      <c r="V1017" s="60"/>
    </row>
    <row r="1018" spans="22:22" ht="20.100000000000001" customHeight="1" x14ac:dyDescent="0.25">
      <c r="V1018" s="60"/>
    </row>
    <row r="1019" spans="22:22" ht="20.100000000000001" customHeight="1" x14ac:dyDescent="0.25">
      <c r="V1019" s="60"/>
    </row>
    <row r="1020" spans="22:22" ht="20.100000000000001" customHeight="1" x14ac:dyDescent="0.25">
      <c r="V1020" s="60"/>
    </row>
    <row r="1021" spans="22:22" ht="20.100000000000001" customHeight="1" x14ac:dyDescent="0.25">
      <c r="V1021" s="60"/>
    </row>
    <row r="1022" spans="22:22" ht="20.100000000000001" customHeight="1" x14ac:dyDescent="0.25">
      <c r="V1022" s="60"/>
    </row>
    <row r="1023" spans="22:22" ht="20.100000000000001" customHeight="1" x14ac:dyDescent="0.25">
      <c r="V1023" s="60"/>
    </row>
    <row r="1024" spans="22:22" ht="20.100000000000001" customHeight="1" x14ac:dyDescent="0.25">
      <c r="V1024" s="60"/>
    </row>
    <row r="1025" spans="22:22" ht="20.100000000000001" customHeight="1" x14ac:dyDescent="0.25">
      <c r="V1025" s="60"/>
    </row>
    <row r="1026" spans="22:22" ht="20.100000000000001" customHeight="1" x14ac:dyDescent="0.25">
      <c r="V1026" s="60"/>
    </row>
    <row r="1027" spans="22:22" ht="20.100000000000001" customHeight="1" x14ac:dyDescent="0.25">
      <c r="V1027" s="60"/>
    </row>
    <row r="1028" spans="22:22" ht="20.100000000000001" customHeight="1" x14ac:dyDescent="0.25">
      <c r="V1028" s="60"/>
    </row>
    <row r="1029" spans="22:22" ht="20.100000000000001" customHeight="1" x14ac:dyDescent="0.25">
      <c r="V1029" s="60"/>
    </row>
    <row r="1030" spans="22:22" ht="20.100000000000001" customHeight="1" x14ac:dyDescent="0.25">
      <c r="V1030" s="60"/>
    </row>
    <row r="1031" spans="22:22" ht="20.100000000000001" customHeight="1" x14ac:dyDescent="0.25">
      <c r="V1031" s="60"/>
    </row>
    <row r="1032" spans="22:22" x14ac:dyDescent="0.25">
      <c r="V1032" s="60"/>
    </row>
    <row r="1033" spans="22:22" x14ac:dyDescent="0.25">
      <c r="V1033" s="60"/>
    </row>
    <row r="1034" spans="22:22" x14ac:dyDescent="0.25">
      <c r="V1034" s="60"/>
    </row>
    <row r="1035" spans="22:22" x14ac:dyDescent="0.25">
      <c r="V1035" s="60"/>
    </row>
    <row r="1036" spans="22:22" x14ac:dyDescent="0.25">
      <c r="V1036" s="60"/>
    </row>
    <row r="1037" spans="22:22" x14ac:dyDescent="0.25">
      <c r="V1037" s="60"/>
    </row>
    <row r="1038" spans="22:22" x14ac:dyDescent="0.25">
      <c r="V1038" s="60"/>
    </row>
    <row r="1039" spans="22:22" x14ac:dyDescent="0.25">
      <c r="V1039" s="60"/>
    </row>
    <row r="1040" spans="22:22" x14ac:dyDescent="0.25">
      <c r="V1040" s="60"/>
    </row>
  </sheetData>
  <phoneticPr fontId="18" type="noConversion"/>
  <dataValidations count="1">
    <dataValidation type="list" allowBlank="1" showInputMessage="1" showErrorMessage="1" sqref="E2:E126" xr:uid="{CF1BBBAE-0554-4C5D-86B2-DFD844FA3B4E}">
      <formula1>$AA$1:$AA$2</formula1>
    </dataValidation>
  </dataValidations>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7A96-627A-4886-B042-E8FE94D66C0F}">
  <dimension ref="A1:AW50"/>
  <sheetViews>
    <sheetView rightToLeft="1" topLeftCell="L1" workbookViewId="0">
      <selection activeCell="S13" sqref="S13"/>
    </sheetView>
  </sheetViews>
  <sheetFormatPr defaultRowHeight="15" x14ac:dyDescent="0.25"/>
  <cols>
    <col min="1" max="1" width="15.42578125" bestFit="1" customWidth="1"/>
    <col min="2" max="2" width="13.28515625" bestFit="1" customWidth="1"/>
    <col min="4" max="4" width="9.140625" style="70"/>
    <col min="7" max="7" width="16.85546875" bestFit="1" customWidth="1"/>
    <col min="8" max="8" width="9.140625" style="70"/>
    <col min="10" max="10" width="19" bestFit="1" customWidth="1"/>
    <col min="12" max="12" width="9.140625" style="70"/>
    <col min="13" max="13" width="13.140625" bestFit="1" customWidth="1"/>
    <col min="14" max="14" width="16.85546875" bestFit="1" customWidth="1"/>
    <col min="15" max="15" width="13.28515625" customWidth="1"/>
    <col min="16" max="16" width="9.140625" style="70"/>
    <col min="19" max="19" width="13.140625" bestFit="1" customWidth="1"/>
    <col min="20" max="20" width="16.85546875" bestFit="1" customWidth="1"/>
    <col min="21" max="21" width="9.140625" style="70"/>
    <col min="22" max="22" width="13.140625" bestFit="1" customWidth="1"/>
    <col min="23" max="23" width="16.85546875" bestFit="1" customWidth="1"/>
    <col min="26" max="26" width="9.140625" style="70"/>
    <col min="27" max="27" width="13.140625" bestFit="1" customWidth="1"/>
    <col min="28" max="28" width="13.5703125" bestFit="1" customWidth="1"/>
    <col min="31" max="31" width="9.140625" style="70"/>
    <col min="33" max="33" width="31" bestFit="1" customWidth="1"/>
    <col min="34" max="34" width="15.42578125" bestFit="1" customWidth="1"/>
    <col min="37" max="37" width="9.140625" style="88"/>
    <col min="38" max="38" width="14.5703125" bestFit="1" customWidth="1"/>
    <col min="39" max="39" width="29.42578125" bestFit="1" customWidth="1"/>
    <col min="43" max="43" width="9.140625" style="88"/>
    <col min="44" max="45" width="13.140625" bestFit="1" customWidth="1"/>
    <col min="46" max="46" width="19.28515625" bestFit="1" customWidth="1"/>
    <col min="49" max="49" width="9.140625" style="93"/>
  </cols>
  <sheetData>
    <row r="1" spans="1:48" ht="15" customHeight="1" x14ac:dyDescent="0.25">
      <c r="A1" s="94" t="s">
        <v>303</v>
      </c>
      <c r="B1" s="94"/>
      <c r="C1" s="94"/>
      <c r="E1" s="94" t="s">
        <v>304</v>
      </c>
      <c r="F1" s="94"/>
      <c r="G1" s="94"/>
      <c r="I1" s="94" t="s">
        <v>308</v>
      </c>
      <c r="J1" s="94"/>
      <c r="K1" s="94"/>
      <c r="M1" s="94" t="s">
        <v>310</v>
      </c>
      <c r="N1" s="94"/>
      <c r="O1" s="94"/>
      <c r="Q1" s="94" t="s">
        <v>311</v>
      </c>
      <c r="R1" s="94"/>
      <c r="S1" s="94"/>
      <c r="T1" s="94"/>
      <c r="V1" s="94" t="s">
        <v>312</v>
      </c>
      <c r="W1" s="94"/>
      <c r="X1" s="94"/>
      <c r="Y1" s="94"/>
      <c r="AA1" s="94" t="s">
        <v>313</v>
      </c>
      <c r="AB1" s="94"/>
      <c r="AC1" s="94"/>
      <c r="AD1" s="94"/>
      <c r="AF1" s="94" t="s">
        <v>315</v>
      </c>
      <c r="AG1" s="94"/>
      <c r="AH1" s="94"/>
      <c r="AI1" s="94"/>
      <c r="AJ1" s="94"/>
      <c r="AL1" s="94" t="s">
        <v>318</v>
      </c>
      <c r="AM1" s="94"/>
      <c r="AN1" s="94"/>
      <c r="AO1" s="94"/>
      <c r="AP1" s="94"/>
      <c r="AR1" s="94" t="s">
        <v>322</v>
      </c>
      <c r="AS1" s="94"/>
      <c r="AT1" s="94"/>
      <c r="AU1" s="94"/>
      <c r="AV1" s="94"/>
    </row>
    <row r="2" spans="1:48" ht="15" customHeight="1" x14ac:dyDescent="0.25">
      <c r="A2" s="94"/>
      <c r="B2" s="94"/>
      <c r="C2" s="94"/>
      <c r="E2" s="94"/>
      <c r="F2" s="94"/>
      <c r="G2" s="94"/>
      <c r="I2" s="94"/>
      <c r="J2" s="94"/>
      <c r="K2" s="94"/>
      <c r="M2" s="94"/>
      <c r="N2" s="94"/>
      <c r="O2" s="94"/>
      <c r="Q2" s="94"/>
      <c r="R2" s="94"/>
      <c r="S2" s="94"/>
      <c r="T2" s="94"/>
      <c r="V2" s="94"/>
      <c r="W2" s="94"/>
      <c r="X2" s="94"/>
      <c r="Y2" s="94"/>
      <c r="AA2" s="94"/>
      <c r="AB2" s="94"/>
      <c r="AC2" s="94"/>
      <c r="AD2" s="94"/>
      <c r="AF2" s="94"/>
      <c r="AG2" s="94"/>
      <c r="AH2" s="94"/>
      <c r="AI2" s="94"/>
      <c r="AJ2" s="94"/>
      <c r="AL2" s="94"/>
      <c r="AM2" s="94"/>
      <c r="AN2" s="94"/>
      <c r="AO2" s="94"/>
      <c r="AP2" s="94"/>
      <c r="AR2" s="94"/>
      <c r="AS2" s="94"/>
      <c r="AT2" s="94"/>
      <c r="AU2" s="94"/>
      <c r="AV2" s="94"/>
    </row>
    <row r="3" spans="1:48" ht="15" customHeight="1" x14ac:dyDescent="0.25">
      <c r="A3" s="94"/>
      <c r="B3" s="94"/>
      <c r="C3" s="94"/>
      <c r="E3" s="94"/>
      <c r="F3" s="94"/>
      <c r="G3" s="94"/>
      <c r="I3" s="94"/>
      <c r="J3" s="94"/>
      <c r="K3" s="94"/>
      <c r="M3" s="94"/>
      <c r="N3" s="94"/>
      <c r="O3" s="94"/>
      <c r="Q3" s="94"/>
      <c r="R3" s="94"/>
      <c r="S3" s="94"/>
      <c r="T3" s="94"/>
      <c r="V3" s="94"/>
      <c r="W3" s="94"/>
      <c r="X3" s="94"/>
      <c r="Y3" s="94"/>
      <c r="AA3" s="94"/>
      <c r="AB3" s="94"/>
      <c r="AC3" s="94"/>
      <c r="AD3" s="94"/>
      <c r="AF3" s="94"/>
      <c r="AG3" s="94"/>
      <c r="AH3" s="94"/>
      <c r="AI3" s="94"/>
      <c r="AJ3" s="94"/>
      <c r="AL3" s="94"/>
      <c r="AM3" s="94"/>
      <c r="AN3" s="94"/>
      <c r="AO3" s="94"/>
      <c r="AP3" s="94"/>
      <c r="AR3" s="94"/>
      <c r="AS3" s="94"/>
      <c r="AT3" s="94"/>
      <c r="AU3" s="94"/>
      <c r="AV3" s="94"/>
    </row>
    <row r="4" spans="1:48" ht="15" customHeight="1" x14ac:dyDescent="0.25">
      <c r="A4" s="94"/>
      <c r="B4" s="94"/>
      <c r="C4" s="94"/>
      <c r="E4" s="94"/>
      <c r="F4" s="94"/>
      <c r="G4" s="94"/>
      <c r="I4" s="94"/>
      <c r="J4" s="94"/>
      <c r="K4" s="94"/>
      <c r="M4" s="94"/>
      <c r="N4" s="94"/>
      <c r="O4" s="94"/>
      <c r="Q4" s="94"/>
      <c r="R4" s="94"/>
      <c r="S4" s="94"/>
      <c r="T4" s="94"/>
      <c r="V4" s="94"/>
      <c r="W4" s="94"/>
      <c r="X4" s="94"/>
      <c r="Y4" s="94"/>
      <c r="AA4" s="94"/>
      <c r="AB4" s="94"/>
      <c r="AC4" s="94"/>
      <c r="AD4" s="94"/>
      <c r="AF4" s="94"/>
      <c r="AG4" s="94"/>
      <c r="AH4" s="94"/>
      <c r="AI4" s="94"/>
      <c r="AJ4" s="94"/>
      <c r="AL4" s="94"/>
      <c r="AM4" s="94"/>
      <c r="AN4" s="94"/>
      <c r="AO4" s="94"/>
      <c r="AP4" s="94"/>
      <c r="AR4" s="94"/>
      <c r="AS4" s="94"/>
      <c r="AT4" s="94"/>
      <c r="AU4" s="94"/>
      <c r="AV4" s="94"/>
    </row>
    <row r="5" spans="1:48" x14ac:dyDescent="0.25">
      <c r="V5" s="71" t="s">
        <v>305</v>
      </c>
      <c r="W5" t="s">
        <v>307</v>
      </c>
      <c r="AA5" s="71" t="s">
        <v>305</v>
      </c>
      <c r="AB5" t="s">
        <v>314</v>
      </c>
      <c r="AL5" s="71" t="s">
        <v>305</v>
      </c>
      <c r="AM5" t="s">
        <v>321</v>
      </c>
    </row>
    <row r="6" spans="1:48" x14ac:dyDescent="0.25">
      <c r="V6" s="72" t="s">
        <v>156</v>
      </c>
      <c r="W6" s="95">
        <v>40</v>
      </c>
      <c r="AA6" s="72" t="s">
        <v>183</v>
      </c>
      <c r="AB6" s="87">
        <v>0.84</v>
      </c>
      <c r="AL6" s="72" t="s">
        <v>319</v>
      </c>
      <c r="AM6" s="87">
        <v>0.30508474576271188</v>
      </c>
      <c r="AS6" s="71" t="s">
        <v>305</v>
      </c>
      <c r="AT6" t="s">
        <v>330</v>
      </c>
    </row>
    <row r="7" spans="1:48" x14ac:dyDescent="0.25">
      <c r="V7" s="72" t="s">
        <v>155</v>
      </c>
      <c r="W7" s="95">
        <v>37</v>
      </c>
      <c r="AA7" s="72" t="s">
        <v>213</v>
      </c>
      <c r="AB7" s="87">
        <v>0.16</v>
      </c>
      <c r="AL7" s="72" t="s">
        <v>320</v>
      </c>
      <c r="AM7" s="87">
        <v>0.69491525423728817</v>
      </c>
      <c r="AS7" s="72" t="s">
        <v>326</v>
      </c>
      <c r="AT7" s="95">
        <v>86</v>
      </c>
    </row>
    <row r="8" spans="1:48" x14ac:dyDescent="0.25">
      <c r="V8" s="72" t="s">
        <v>191</v>
      </c>
      <c r="W8" s="95">
        <v>21</v>
      </c>
      <c r="AA8" s="72" t="s">
        <v>306</v>
      </c>
      <c r="AB8" s="87">
        <v>1</v>
      </c>
      <c r="AG8" s="71" t="s">
        <v>305</v>
      </c>
      <c r="AH8" t="s">
        <v>302</v>
      </c>
      <c r="AL8" s="72" t="s">
        <v>306</v>
      </c>
      <c r="AM8" s="87">
        <v>1</v>
      </c>
      <c r="AS8" s="72" t="s">
        <v>327</v>
      </c>
      <c r="AT8" s="95">
        <v>39</v>
      </c>
    </row>
    <row r="9" spans="1:48" x14ac:dyDescent="0.25">
      <c r="V9" s="72" t="s">
        <v>160</v>
      </c>
      <c r="W9" s="95">
        <v>8</v>
      </c>
      <c r="AG9" s="72" t="s">
        <v>62</v>
      </c>
      <c r="AH9" s="73">
        <v>158284</v>
      </c>
      <c r="AS9" s="72" t="s">
        <v>306</v>
      </c>
      <c r="AT9" s="95">
        <v>125</v>
      </c>
    </row>
    <row r="10" spans="1:48" x14ac:dyDescent="0.25">
      <c r="S10" s="71" t="s">
        <v>305</v>
      </c>
      <c r="T10" t="s">
        <v>307</v>
      </c>
      <c r="V10" s="72" t="s">
        <v>223</v>
      </c>
      <c r="W10" s="95">
        <v>4</v>
      </c>
      <c r="AG10" s="72" t="s">
        <v>205</v>
      </c>
      <c r="AH10" s="73">
        <v>143790</v>
      </c>
    </row>
    <row r="11" spans="1:48" x14ac:dyDescent="0.25">
      <c r="S11" s="72" t="s">
        <v>146</v>
      </c>
      <c r="T11" s="95">
        <v>17</v>
      </c>
      <c r="V11" s="72" t="s">
        <v>158</v>
      </c>
      <c r="W11" s="95">
        <v>3</v>
      </c>
      <c r="AG11" s="72" t="s">
        <v>36</v>
      </c>
      <c r="AH11" s="73">
        <v>116089</v>
      </c>
    </row>
    <row r="12" spans="1:48" x14ac:dyDescent="0.25">
      <c r="J12" t="s">
        <v>309</v>
      </c>
      <c r="M12" s="71" t="s">
        <v>305</v>
      </c>
      <c r="N12" t="s">
        <v>307</v>
      </c>
      <c r="S12" s="72" t="s">
        <v>147</v>
      </c>
      <c r="T12" s="95">
        <v>1</v>
      </c>
      <c r="V12" s="72" t="s">
        <v>164</v>
      </c>
      <c r="W12" s="95">
        <v>2</v>
      </c>
      <c r="AB12" s="92">
        <f>GETPIVOTDATA("الحالة",$AA$5,"الحالة","لاغى")</f>
        <v>0.16</v>
      </c>
      <c r="AG12" s="72" t="s">
        <v>39</v>
      </c>
      <c r="AH12" s="73">
        <v>91843</v>
      </c>
    </row>
    <row r="13" spans="1:48" x14ac:dyDescent="0.25">
      <c r="J13" s="73">
        <v>10263.08652352</v>
      </c>
      <c r="M13" s="72" t="s">
        <v>195</v>
      </c>
      <c r="N13" s="95">
        <v>3</v>
      </c>
      <c r="S13" s="72" t="s">
        <v>139</v>
      </c>
      <c r="T13" s="95">
        <v>88</v>
      </c>
      <c r="V13" s="72" t="s">
        <v>186</v>
      </c>
      <c r="W13" s="95">
        <v>2</v>
      </c>
      <c r="AG13" s="72" t="s">
        <v>189</v>
      </c>
      <c r="AH13" s="73">
        <v>57397</v>
      </c>
    </row>
    <row r="14" spans="1:48" x14ac:dyDescent="0.25">
      <c r="M14" s="72" t="s">
        <v>51</v>
      </c>
      <c r="N14" s="95">
        <v>13</v>
      </c>
      <c r="S14" s="72" t="s">
        <v>150</v>
      </c>
      <c r="T14" s="95">
        <v>1</v>
      </c>
      <c r="V14" s="72" t="s">
        <v>202</v>
      </c>
      <c r="W14" s="95">
        <v>2</v>
      </c>
      <c r="AG14" s="72" t="s">
        <v>99</v>
      </c>
      <c r="AH14" s="73">
        <v>47893</v>
      </c>
    </row>
    <row r="15" spans="1:48" x14ac:dyDescent="0.25">
      <c r="G15" t="s">
        <v>307</v>
      </c>
      <c r="M15" s="72" t="s">
        <v>40</v>
      </c>
      <c r="N15" s="95">
        <v>9</v>
      </c>
      <c r="S15" s="72" t="s">
        <v>154</v>
      </c>
      <c r="T15" s="95">
        <v>18</v>
      </c>
      <c r="V15" s="72" t="s">
        <v>161</v>
      </c>
      <c r="W15" s="95">
        <v>2</v>
      </c>
      <c r="AG15" s="72" t="s">
        <v>81</v>
      </c>
      <c r="AH15" s="73">
        <v>43346</v>
      </c>
      <c r="AM15" s="92">
        <f>GETPIVOTDATA("البضاعه المباعه فى موعيدها",$AL$5,"البضاعه المباعه فى موعيدها","تم تسليم فى الموعد")</f>
        <v>0.69491525423728817</v>
      </c>
    </row>
    <row r="16" spans="1:48" x14ac:dyDescent="0.25">
      <c r="G16" s="95">
        <v>125</v>
      </c>
      <c r="M16" s="72" t="s">
        <v>29</v>
      </c>
      <c r="N16" s="95">
        <v>16</v>
      </c>
      <c r="S16" s="72" t="s">
        <v>306</v>
      </c>
      <c r="T16" s="95">
        <v>125</v>
      </c>
      <c r="V16" s="72" t="s">
        <v>211</v>
      </c>
      <c r="W16" s="95">
        <v>2</v>
      </c>
      <c r="AG16" s="72" t="s">
        <v>32</v>
      </c>
      <c r="AH16" s="73">
        <v>41799</v>
      </c>
    </row>
    <row r="17" spans="1:34" x14ac:dyDescent="0.25">
      <c r="J17" s="91">
        <f>GETPIVOTDATA("سعر البيع ",$J$12)</f>
        <v>10263.08652352</v>
      </c>
      <c r="M17" s="72" t="s">
        <v>250</v>
      </c>
      <c r="N17" s="95">
        <v>3</v>
      </c>
      <c r="V17" s="72" t="s">
        <v>200</v>
      </c>
      <c r="W17" s="95">
        <v>1</v>
      </c>
      <c r="AG17" s="72" t="s">
        <v>24</v>
      </c>
      <c r="AH17" s="73">
        <v>41640</v>
      </c>
    </row>
    <row r="18" spans="1:34" x14ac:dyDescent="0.25">
      <c r="M18" s="72" t="s">
        <v>245</v>
      </c>
      <c r="N18" s="95">
        <v>1</v>
      </c>
      <c r="V18" s="72" t="s">
        <v>197</v>
      </c>
      <c r="W18" s="95">
        <v>1</v>
      </c>
      <c r="AG18" s="72" t="s">
        <v>119</v>
      </c>
      <c r="AH18" s="73">
        <v>35772</v>
      </c>
    </row>
    <row r="19" spans="1:34" x14ac:dyDescent="0.25">
      <c r="G19">
        <f>GETPIVOTDATA("سعر البيع ",$G$15)</f>
        <v>125</v>
      </c>
      <c r="M19" s="72" t="s">
        <v>228</v>
      </c>
      <c r="N19" s="95">
        <v>2</v>
      </c>
      <c r="V19" s="72" t="s">
        <v>306</v>
      </c>
      <c r="W19" s="95">
        <v>125</v>
      </c>
      <c r="AG19" s="72" t="s">
        <v>226</v>
      </c>
      <c r="AH19" s="73">
        <v>35115</v>
      </c>
    </row>
    <row r="20" spans="1:34" x14ac:dyDescent="0.25">
      <c r="M20" s="72" t="s">
        <v>234</v>
      </c>
      <c r="N20" s="95">
        <v>2</v>
      </c>
      <c r="AG20" s="72" t="s">
        <v>45</v>
      </c>
      <c r="AH20" s="73">
        <v>26998</v>
      </c>
    </row>
    <row r="21" spans="1:34" x14ac:dyDescent="0.25">
      <c r="M21" s="72" t="s">
        <v>8</v>
      </c>
      <c r="N21" s="95">
        <v>76</v>
      </c>
      <c r="AG21" s="72" t="s">
        <v>57</v>
      </c>
      <c r="AH21" s="73">
        <v>26697</v>
      </c>
    </row>
    <row r="22" spans="1:34" x14ac:dyDescent="0.25">
      <c r="M22" s="72" t="s">
        <v>306</v>
      </c>
      <c r="N22" s="95">
        <v>125</v>
      </c>
      <c r="AG22" s="72" t="s">
        <v>185</v>
      </c>
      <c r="AH22" s="73">
        <v>26453</v>
      </c>
    </row>
    <row r="23" spans="1:34" x14ac:dyDescent="0.25">
      <c r="AG23" s="72" t="s">
        <v>134</v>
      </c>
      <c r="AH23" s="73">
        <v>26277</v>
      </c>
    </row>
    <row r="24" spans="1:34" x14ac:dyDescent="0.25">
      <c r="AG24" s="72" t="s">
        <v>21</v>
      </c>
      <c r="AH24" s="73">
        <v>24288</v>
      </c>
    </row>
    <row r="25" spans="1:34" x14ac:dyDescent="0.25">
      <c r="AG25" s="72" t="s">
        <v>69</v>
      </c>
      <c r="AH25" s="73">
        <v>23898</v>
      </c>
    </row>
    <row r="26" spans="1:34" x14ac:dyDescent="0.25">
      <c r="AG26" s="72" t="s">
        <v>194</v>
      </c>
      <c r="AH26" s="73">
        <v>23144.905440000002</v>
      </c>
    </row>
    <row r="27" spans="1:34" x14ac:dyDescent="0.25">
      <c r="AG27" s="72" t="s">
        <v>174</v>
      </c>
      <c r="AH27" s="73">
        <v>21999</v>
      </c>
    </row>
    <row r="28" spans="1:34" x14ac:dyDescent="0.25">
      <c r="AG28" s="72" t="s">
        <v>172</v>
      </c>
      <c r="AH28" s="73">
        <v>21998</v>
      </c>
    </row>
    <row r="29" spans="1:34" x14ac:dyDescent="0.25">
      <c r="AG29" s="72" t="s">
        <v>54</v>
      </c>
      <c r="AH29" s="73">
        <v>21448</v>
      </c>
    </row>
    <row r="30" spans="1:34" x14ac:dyDescent="0.25">
      <c r="AG30" s="72" t="s">
        <v>125</v>
      </c>
      <c r="AH30" s="73">
        <v>20568</v>
      </c>
    </row>
    <row r="31" spans="1:34" x14ac:dyDescent="0.25">
      <c r="A31" t="s">
        <v>302</v>
      </c>
      <c r="AG31" s="72" t="s">
        <v>274</v>
      </c>
      <c r="AH31" s="73">
        <v>19948</v>
      </c>
    </row>
    <row r="32" spans="1:34" x14ac:dyDescent="0.25">
      <c r="A32" s="73">
        <v>1282885.81544</v>
      </c>
      <c r="AG32" s="72" t="s">
        <v>77</v>
      </c>
      <c r="AH32" s="73">
        <v>16080</v>
      </c>
    </row>
    <row r="33" spans="2:34" x14ac:dyDescent="0.25">
      <c r="AG33" s="72" t="s">
        <v>265</v>
      </c>
      <c r="AH33" s="73">
        <v>14905</v>
      </c>
    </row>
    <row r="34" spans="2:34" x14ac:dyDescent="0.25">
      <c r="B34" s="91">
        <f>GETPIVOTDATA("سعر البيع ",$A$31)</f>
        <v>1282885.81544</v>
      </c>
      <c r="AG34" s="72" t="s">
        <v>86</v>
      </c>
      <c r="AH34" s="73">
        <v>13099</v>
      </c>
    </row>
    <row r="35" spans="2:34" x14ac:dyDescent="0.25">
      <c r="AG35" s="72" t="s">
        <v>105</v>
      </c>
      <c r="AH35" s="73">
        <v>12999</v>
      </c>
    </row>
    <row r="36" spans="2:34" x14ac:dyDescent="0.25">
      <c r="AG36" s="72" t="s">
        <v>215</v>
      </c>
      <c r="AH36" s="73">
        <v>12899</v>
      </c>
    </row>
    <row r="37" spans="2:34" x14ac:dyDescent="0.25">
      <c r="AG37" s="72" t="s">
        <v>235</v>
      </c>
      <c r="AH37" s="73">
        <v>12099</v>
      </c>
    </row>
    <row r="38" spans="2:34" x14ac:dyDescent="0.25">
      <c r="AG38" s="72" t="s">
        <v>253</v>
      </c>
      <c r="AH38" s="73">
        <v>10885</v>
      </c>
    </row>
    <row r="39" spans="2:34" x14ac:dyDescent="0.25">
      <c r="AG39" s="72" t="s">
        <v>278</v>
      </c>
      <c r="AH39" s="73">
        <v>10445</v>
      </c>
    </row>
    <row r="40" spans="2:34" x14ac:dyDescent="0.25">
      <c r="AG40" s="72" t="s">
        <v>18</v>
      </c>
      <c r="AH40" s="73">
        <v>10160</v>
      </c>
    </row>
    <row r="41" spans="2:34" x14ac:dyDescent="0.25">
      <c r="AG41" s="72" t="s">
        <v>14</v>
      </c>
      <c r="AH41" s="73">
        <v>10160</v>
      </c>
    </row>
    <row r="42" spans="2:34" x14ac:dyDescent="0.25">
      <c r="AG42" s="72" t="s">
        <v>73</v>
      </c>
      <c r="AH42" s="73">
        <v>9450</v>
      </c>
    </row>
    <row r="43" spans="2:34" x14ac:dyDescent="0.25">
      <c r="AG43" s="72" t="s">
        <v>204</v>
      </c>
      <c r="AH43" s="73">
        <v>8899</v>
      </c>
    </row>
    <row r="44" spans="2:34" x14ac:dyDescent="0.25">
      <c r="AG44" s="72" t="s">
        <v>224</v>
      </c>
      <c r="AH44" s="73">
        <v>8544.91</v>
      </c>
    </row>
    <row r="45" spans="2:34" x14ac:dyDescent="0.25">
      <c r="AG45" s="72" t="s">
        <v>258</v>
      </c>
      <c r="AH45" s="73">
        <v>8449</v>
      </c>
    </row>
    <row r="46" spans="2:34" x14ac:dyDescent="0.25">
      <c r="AG46" s="72" t="s">
        <v>129</v>
      </c>
      <c r="AH46" s="73">
        <v>8349</v>
      </c>
    </row>
    <row r="47" spans="2:34" x14ac:dyDescent="0.25">
      <c r="AG47" s="72" t="s">
        <v>137</v>
      </c>
      <c r="AH47" s="73">
        <v>8349</v>
      </c>
    </row>
    <row r="48" spans="2:34" x14ac:dyDescent="0.25">
      <c r="AG48" s="72" t="s">
        <v>242</v>
      </c>
      <c r="AH48" s="73">
        <v>5294</v>
      </c>
    </row>
    <row r="49" spans="33:34" x14ac:dyDescent="0.25">
      <c r="AG49" s="72" t="s">
        <v>219</v>
      </c>
      <c r="AH49" s="73">
        <v>5135</v>
      </c>
    </row>
    <row r="50" spans="33:34" x14ac:dyDescent="0.25">
      <c r="AG50" s="72" t="s">
        <v>306</v>
      </c>
      <c r="AH50" s="73">
        <v>1282885.81544</v>
      </c>
    </row>
  </sheetData>
  <mergeCells count="10">
    <mergeCell ref="AL1:AP4"/>
    <mergeCell ref="AR1:AV4"/>
    <mergeCell ref="V1:Y4"/>
    <mergeCell ref="AA1:AD4"/>
    <mergeCell ref="A1:C4"/>
    <mergeCell ref="E1:G4"/>
    <mergeCell ref="I1:K4"/>
    <mergeCell ref="M1:O4"/>
    <mergeCell ref="Q1:T4"/>
    <mergeCell ref="AF1:A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9427E-E04D-4948-B765-BAEFB2AA6A3C}">
  <dimension ref="A1"/>
  <sheetViews>
    <sheetView showGridLines="0" rightToLeft="1" tabSelected="1" workbookViewId="0">
      <selection activeCell="H42" sqref="H42"/>
    </sheetView>
  </sheetViews>
  <sheetFormatPr defaultRowHeight="15" x14ac:dyDescent="0.25"/>
  <cols>
    <col min="1" max="16384" width="9.140625" style="8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الارشادات</vt:lpstr>
      <vt:lpstr>البيانات</vt:lpstr>
      <vt:lpstr>pivot _t</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Eslam Ragab</cp:lastModifiedBy>
  <dcterms:created xsi:type="dcterms:W3CDTF">2015-06-05T18:17:20Z</dcterms:created>
  <dcterms:modified xsi:type="dcterms:W3CDTF">2026-04-23T09:40:01Z</dcterms:modified>
</cp:coreProperties>
</file>